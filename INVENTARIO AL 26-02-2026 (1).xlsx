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lmacen\Desktop\LEONARDO\INVENTARIOS\2026\02-FEBRERO\"/>
    </mc:Choice>
  </mc:AlternateContent>
  <bookViews>
    <workbookView xWindow="0" yWindow="0" windowWidth="21600" windowHeight="9735"/>
  </bookViews>
  <sheets>
    <sheet name="SUSTRATO" sheetId="22" r:id="rId1"/>
    <sheet name="SUSTRATOS TECHOMAT" sheetId="28" state="hidden" r:id="rId2"/>
    <sheet name="TINTAS" sheetId="35" r:id="rId3"/>
    <sheet name="TINTAS (2)" sheetId="36" state="hidden" r:id="rId4"/>
    <sheet name="QUÍMICOS" sheetId="9" r:id="rId5"/>
    <sheet name="COSUMIBLES" sheetId="23" state="hidden" r:id="rId6"/>
    <sheet name="COSUMIBLES (2)" sheetId="34" r:id="rId7"/>
    <sheet name="UNIFORMES" sheetId="37" r:id="rId8"/>
    <sheet name="FERRETERIA" sheetId="29" state="hidden" r:id="rId9"/>
    <sheet name="PAPELERIA" sheetId="30" state="hidden" r:id="rId10"/>
    <sheet name="LIMPIEZA" sheetId="32" state="hidden" r:id="rId11"/>
    <sheet name="REPUESTOS" sheetId="31" state="hidden" r:id="rId12"/>
  </sheets>
  <definedNames>
    <definedName name="_xlnm._FilterDatabase" localSheetId="5" hidden="1">COSUMIBLES!$A$8:$C$8</definedName>
    <definedName name="_xlnm._FilterDatabase" localSheetId="6" hidden="1">'COSUMIBLES (2)'!$A$8:$C$8</definedName>
    <definedName name="_xlnm._FilterDatabase" localSheetId="8" hidden="1">FERRETERIA!$A$8:$C$8</definedName>
    <definedName name="_xlnm._FilterDatabase" localSheetId="10" hidden="1">LIMPIEZA!$A$8:$C$8</definedName>
    <definedName name="_xlnm._FilterDatabase" localSheetId="9" hidden="1">PAPELERIA!$A$8:$C$8</definedName>
    <definedName name="_xlnm._FilterDatabase" localSheetId="11" hidden="1">REPUESTOS!$A$8:$C$8</definedName>
    <definedName name="_xlnm._FilterDatabase" localSheetId="0" hidden="1">SUSTRATO!$K$5:$K$108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7" i="22" l="1"/>
  <c r="C104" i="22" l="1"/>
  <c r="C103" i="22"/>
  <c r="C96" i="22"/>
  <c r="C95" i="22"/>
  <c r="C106" i="22"/>
  <c r="C107" i="22"/>
  <c r="C102" i="22" l="1"/>
  <c r="D96" i="22"/>
  <c r="C98" i="22"/>
  <c r="C105" i="22"/>
  <c r="C100" i="22"/>
  <c r="D84" i="22"/>
  <c r="C99" i="22" s="1"/>
  <c r="D95" i="22"/>
  <c r="D97" i="22"/>
  <c r="D98" i="22" l="1"/>
  <c r="D105" i="22" l="1"/>
  <c r="D103" i="22" l="1"/>
  <c r="D78" i="22" l="1"/>
  <c r="C101" i="22" s="1"/>
  <c r="D100" i="22" s="1"/>
  <c r="D106" i="22" l="1"/>
  <c r="D101" i="22"/>
  <c r="D99" i="22" l="1"/>
  <c r="D102" i="22"/>
  <c r="C108" i="22"/>
  <c r="D108" i="22" l="1"/>
  <c r="D107" i="22"/>
</calcChain>
</file>

<file path=xl/comments1.xml><?xml version="1.0" encoding="utf-8"?>
<comments xmlns="http://schemas.openxmlformats.org/spreadsheetml/2006/main">
  <authors>
    <author>Almacen</author>
  </authors>
  <commentList>
    <comment ref="K101" authorId="0" shapeId="0">
      <text>
        <r>
          <rPr>
            <b/>
            <sz val="9"/>
            <color indexed="81"/>
            <rFont val="Tahoma"/>
            <family val="2"/>
          </rPr>
          <t>Almacen:</t>
        </r>
        <r>
          <rPr>
            <sz val="9"/>
            <color indexed="81"/>
            <rFont val="Tahoma"/>
            <family val="2"/>
          </rPr>
          <t xml:space="preserve">
MAS 261 kg rechazado por core colapsado</t>
        </r>
      </text>
    </comment>
  </commentList>
</comments>
</file>

<file path=xl/sharedStrings.xml><?xml version="1.0" encoding="utf-8"?>
<sst xmlns="http://schemas.openxmlformats.org/spreadsheetml/2006/main" count="2132" uniqueCount="534">
  <si>
    <t>MATERIAL</t>
  </si>
  <si>
    <t>MICRAS</t>
  </si>
  <si>
    <t>KG</t>
  </si>
  <si>
    <t>BOPP</t>
  </si>
  <si>
    <t>BOPP MATE</t>
  </si>
  <si>
    <t>METAL</t>
  </si>
  <si>
    <t>CAST</t>
  </si>
  <si>
    <t xml:space="preserve">CAST </t>
  </si>
  <si>
    <t>PEBD</t>
  </si>
  <si>
    <t xml:space="preserve">PEBD  </t>
  </si>
  <si>
    <t>MATE</t>
  </si>
  <si>
    <t>SUPERFICIE</t>
  </si>
  <si>
    <t>COD</t>
  </si>
  <si>
    <t>SOL IPA 001</t>
  </si>
  <si>
    <t xml:space="preserve">ALCOHOL ISOPROPILICO (IPA) </t>
  </si>
  <si>
    <t>SOL AC 002</t>
  </si>
  <si>
    <t>ACETATO N-PROPYL</t>
  </si>
  <si>
    <t>SOL MP 003</t>
  </si>
  <si>
    <t>METHOXY PROPANOL</t>
  </si>
  <si>
    <t>SOL AD 004</t>
  </si>
  <si>
    <t xml:space="preserve">ADHESIVO </t>
  </si>
  <si>
    <t>SOL CA 005</t>
  </si>
  <si>
    <t>CATALIZADOR</t>
  </si>
  <si>
    <t>SOL 006</t>
  </si>
  <si>
    <t>SOLVENTE RECUPERADO</t>
  </si>
  <si>
    <t>COLOR</t>
  </si>
  <si>
    <t>CÓDIGO</t>
  </si>
  <si>
    <t xml:space="preserve">BL-2036 </t>
  </si>
  <si>
    <t>BLANCO</t>
  </si>
  <si>
    <t xml:space="preserve">NEGRO </t>
  </si>
  <si>
    <t>BL-2054</t>
  </si>
  <si>
    <t xml:space="preserve">AMARILLO PROCESO </t>
  </si>
  <si>
    <t>BL-1132</t>
  </si>
  <si>
    <t>BL-0897</t>
  </si>
  <si>
    <t xml:space="preserve">CYAN </t>
  </si>
  <si>
    <t>BL-1964</t>
  </si>
  <si>
    <t>AZUL PROCESO</t>
  </si>
  <si>
    <t xml:space="preserve"> BL-1535</t>
  </si>
  <si>
    <t xml:space="preserve">MAGENTA </t>
  </si>
  <si>
    <t>BL-1706</t>
  </si>
  <si>
    <t xml:space="preserve">REFLEX </t>
  </si>
  <si>
    <t>BL-1007</t>
  </si>
  <si>
    <t>NARANJA 021</t>
  </si>
  <si>
    <t xml:space="preserve">EXTENDER </t>
  </si>
  <si>
    <t>BL-1883</t>
  </si>
  <si>
    <t>D2330</t>
  </si>
  <si>
    <t>VIOLETA PERMANENTE</t>
  </si>
  <si>
    <t xml:space="preserve">VERDE "C" </t>
  </si>
  <si>
    <t>BL-1718</t>
  </si>
  <si>
    <t xml:space="preserve">NARANJA MARY </t>
  </si>
  <si>
    <t>BL-2152</t>
  </si>
  <si>
    <t>DORADO ALVARIGUA</t>
  </si>
  <si>
    <t xml:space="preserve">VIOLETA PANTONE </t>
  </si>
  <si>
    <t>BL-0928</t>
  </si>
  <si>
    <t xml:space="preserve">MORADO NONNA </t>
  </si>
  <si>
    <t>DL FL 30136</t>
  </si>
  <si>
    <t xml:space="preserve"> FL 1024 (20KG)</t>
  </si>
  <si>
    <t>MARRON AMANECER</t>
  </si>
  <si>
    <t xml:space="preserve"> 30125 (17KG)</t>
  </si>
  <si>
    <t>467 8018 (17KG)</t>
  </si>
  <si>
    <t xml:space="preserve">NEGRO  </t>
  </si>
  <si>
    <t xml:space="preserve">BLANCO  </t>
  </si>
  <si>
    <t xml:space="preserve">MAGENTA  </t>
  </si>
  <si>
    <t xml:space="preserve">CYAN  </t>
  </si>
  <si>
    <t xml:space="preserve">AMARILLO  </t>
  </si>
  <si>
    <t>CATALIZADOR 403</t>
  </si>
  <si>
    <t>BOPP NORMAL</t>
  </si>
  <si>
    <t>INVENTARIO DE SUSTRATOS</t>
  </si>
  <si>
    <t>BOPP PASTA</t>
  </si>
  <si>
    <t>NO USADO</t>
  </si>
  <si>
    <t>ANCHO</t>
  </si>
  <si>
    <t>PASTA</t>
  </si>
  <si>
    <t>BL-2134</t>
  </si>
  <si>
    <t>CREMA AMANECER (FAVICA)</t>
  </si>
  <si>
    <t>CREMA AMANECER (BARNIVENCA)</t>
  </si>
  <si>
    <t>BEIGE (TINTA FLEX)</t>
  </si>
  <si>
    <t>BN-1649</t>
  </si>
  <si>
    <t>CANTIDAD</t>
  </si>
  <si>
    <t>VERDE "P" 340-C</t>
  </si>
  <si>
    <t>BL-2162</t>
  </si>
  <si>
    <t>UNIDAD</t>
  </si>
  <si>
    <t>Alambre dulce</t>
  </si>
  <si>
    <t>Bolsas anaranjadas</t>
  </si>
  <si>
    <t>Bolsas negras grandes</t>
  </si>
  <si>
    <t>Brochas</t>
  </si>
  <si>
    <t>Cepillo de alambre</t>
  </si>
  <si>
    <t>Cepillo de barrer</t>
  </si>
  <si>
    <t xml:space="preserve">Cera de pulir </t>
  </si>
  <si>
    <t>Tirro blanco 1 1/2"</t>
  </si>
  <si>
    <t>Cinta morropack transp.</t>
  </si>
  <si>
    <t>Coletos/mopas</t>
  </si>
  <si>
    <t>Desague lavamanos 1 1/4</t>
  </si>
  <si>
    <t>Disco desbaste 4,5x1/4x7/8</t>
  </si>
  <si>
    <t>Disco de corte 1/2x045x7/8</t>
  </si>
  <si>
    <t>Disco de trozadora 14"</t>
  </si>
  <si>
    <t>Disco segmentado 4" 1/2</t>
  </si>
  <si>
    <t>Resma de hojas T. oficio</t>
  </si>
  <si>
    <t>Resmaa de hojas T. carta</t>
  </si>
  <si>
    <t>Esponja doble uso colon</t>
  </si>
  <si>
    <t>Fleje pp 12.0 x 0.90</t>
  </si>
  <si>
    <t>Grapas metalicas (paq)</t>
  </si>
  <si>
    <t>Guantes de nitrilo verdes</t>
  </si>
  <si>
    <t xml:space="preserve">Haragán plastico </t>
  </si>
  <si>
    <t>Hoja de segueta</t>
  </si>
  <si>
    <t xml:space="preserve">Hojillas para maquina </t>
  </si>
  <si>
    <t xml:space="preserve">llave para lavamanos </t>
  </si>
  <si>
    <t>Manga para Refile</t>
  </si>
  <si>
    <t>Manga para Bobinas</t>
  </si>
  <si>
    <t xml:space="preserve">Marcador de tratado </t>
  </si>
  <si>
    <t>Medias panty</t>
  </si>
  <si>
    <t xml:space="preserve">Palo de escoba </t>
  </si>
  <si>
    <t>Pañitos amarillos</t>
  </si>
  <si>
    <t>Papel higienico</t>
  </si>
  <si>
    <t>unidad</t>
  </si>
  <si>
    <t>resma</t>
  </si>
  <si>
    <t>rollo</t>
  </si>
  <si>
    <t>paquete</t>
  </si>
  <si>
    <t>bobina</t>
  </si>
  <si>
    <t>rollos</t>
  </si>
  <si>
    <t>Pilas AAA</t>
  </si>
  <si>
    <t>soldadura para tubos PVC</t>
  </si>
  <si>
    <t xml:space="preserve">strech Manual </t>
  </si>
  <si>
    <t>Porta vasos conicos</t>
  </si>
  <si>
    <t>Pride</t>
  </si>
  <si>
    <t>Hojillas para exacto</t>
  </si>
  <si>
    <t>Silicon SQ</t>
  </si>
  <si>
    <t>Teflón</t>
  </si>
  <si>
    <t>Teipe negro</t>
  </si>
  <si>
    <t>Pila cuadrada</t>
  </si>
  <si>
    <t>Etiquetas para corte</t>
  </si>
  <si>
    <t>Solucion antibacteriana</t>
  </si>
  <si>
    <t>litro</t>
  </si>
  <si>
    <t>Etiquetas amarillas</t>
  </si>
  <si>
    <t>Pulitura de acero inoxidable</t>
  </si>
  <si>
    <t>Faja de seguridad talla M</t>
  </si>
  <si>
    <t>Toallin</t>
  </si>
  <si>
    <t>Saca grapas</t>
  </si>
  <si>
    <t>Guantes de algodón</t>
  </si>
  <si>
    <t>Vasos conicos</t>
  </si>
  <si>
    <t>envase rociador</t>
  </si>
  <si>
    <t>Almohadilla dactilar</t>
  </si>
  <si>
    <t xml:space="preserve">Boligrafo </t>
  </si>
  <si>
    <t>Borrador de nara (624) mayka</t>
  </si>
  <si>
    <t>Carpeta 3 aros 1 1/2 blanca</t>
  </si>
  <si>
    <t>Carpeta manila T. carta</t>
  </si>
  <si>
    <t>Carpeta manila T. oficio</t>
  </si>
  <si>
    <t>Carpeta marron T. carta</t>
  </si>
  <si>
    <t>carpeta oficio logo axones</t>
  </si>
  <si>
    <t>Cd virgen</t>
  </si>
  <si>
    <t>chinches</t>
  </si>
  <si>
    <t>caja</t>
  </si>
  <si>
    <t>clips</t>
  </si>
  <si>
    <t>Forma iteca vale</t>
  </si>
  <si>
    <t>Ganchos de carpetas</t>
  </si>
  <si>
    <t>ganchos doble clip</t>
  </si>
  <si>
    <t>grapas corrugadas</t>
  </si>
  <si>
    <t>grapas lisas</t>
  </si>
  <si>
    <t>Lapiz de grafito</t>
  </si>
  <si>
    <t>Libretas 1 linea</t>
  </si>
  <si>
    <t>Marcador permanente</t>
  </si>
  <si>
    <t>Pega en barra</t>
  </si>
  <si>
    <t>Recibo de caja chica</t>
  </si>
  <si>
    <t>Regla de 30 cm</t>
  </si>
  <si>
    <t>Resaltador amarillo</t>
  </si>
  <si>
    <t>Silicon liquido</t>
  </si>
  <si>
    <t>Sobre manila T. carta</t>
  </si>
  <si>
    <t>Sobre manila T. oficio</t>
  </si>
  <si>
    <t xml:space="preserve">Sobre blanco </t>
  </si>
  <si>
    <t>Sobre manila T. extra oficio</t>
  </si>
  <si>
    <t>Tacos auto adhesivos</t>
  </si>
  <si>
    <t>Tacos blancos logo axones</t>
  </si>
  <si>
    <t>Talonarios de impresión</t>
  </si>
  <si>
    <t>talonarios de laminacion</t>
  </si>
  <si>
    <t>Exacto</t>
  </si>
  <si>
    <t>disco para pulir 6"x5/8x1/2</t>
  </si>
  <si>
    <t>soldadura liquida PVC</t>
  </si>
  <si>
    <t>cristal para soldar</t>
  </si>
  <si>
    <t>Destapador de cannas</t>
  </si>
  <si>
    <t>teipe vinyl electrico</t>
  </si>
  <si>
    <t>cinta adhesiva uso oficina</t>
  </si>
  <si>
    <t>Resaltador verde</t>
  </si>
  <si>
    <t>Resaltador Rosado</t>
  </si>
  <si>
    <t>Pilas (3v) Lithiun</t>
  </si>
  <si>
    <t>lija 60 para lijadora</t>
  </si>
  <si>
    <t>lija 40</t>
  </si>
  <si>
    <t>kilos</t>
  </si>
  <si>
    <t>Jabon liquido</t>
  </si>
  <si>
    <t>Cloro</t>
  </si>
  <si>
    <t>Desinfectante</t>
  </si>
  <si>
    <t>Desengrasante</t>
  </si>
  <si>
    <t>Jabon de manos</t>
  </si>
  <si>
    <t>Mas</t>
  </si>
  <si>
    <t>Limpia Anilox</t>
  </si>
  <si>
    <t>Trapos</t>
  </si>
  <si>
    <t>strech para maquina</t>
  </si>
  <si>
    <t xml:space="preserve">NEGRO POLYESTER </t>
  </si>
  <si>
    <t>BL-1280</t>
  </si>
  <si>
    <t>BF-0387</t>
  </si>
  <si>
    <t>BN-1674</t>
  </si>
  <si>
    <t>hojillas maq china</t>
  </si>
  <si>
    <t>BN-1093</t>
  </si>
  <si>
    <t>BL-2164</t>
  </si>
  <si>
    <t>BL-2163</t>
  </si>
  <si>
    <t>Limpiador de contactos</t>
  </si>
  <si>
    <t>cartucho</t>
  </si>
  <si>
    <t>Grasa para altas temperaturas</t>
  </si>
  <si>
    <t>grasa para maquinas</t>
  </si>
  <si>
    <t>Racla de acero 0,20*40mm</t>
  </si>
  <si>
    <t>Racla de acero 0,20*38mm</t>
  </si>
  <si>
    <t>Racla de acero 0,20*35mm</t>
  </si>
  <si>
    <t>guantes para laminación</t>
  </si>
  <si>
    <t>guantes para impresión</t>
  </si>
  <si>
    <t>electrodos 3/32</t>
  </si>
  <si>
    <t>goma de batea o fregador</t>
  </si>
  <si>
    <t>Braker doble de 30</t>
  </si>
  <si>
    <t xml:space="preserve">Braker triple de 50 </t>
  </si>
  <si>
    <t>terminales</t>
  </si>
  <si>
    <t>juego de mechas concreto</t>
  </si>
  <si>
    <t>protector 220</t>
  </si>
  <si>
    <t>rodillos pequeños con bandeja</t>
  </si>
  <si>
    <t>lampara led</t>
  </si>
  <si>
    <t>martillo normal cacha goma</t>
  </si>
  <si>
    <t>martillo normal cacha madera</t>
  </si>
  <si>
    <t>martillo de goma grande</t>
  </si>
  <si>
    <t>"T" de PVC 3/4</t>
  </si>
  <si>
    <t xml:space="preserve">pinza de electricista </t>
  </si>
  <si>
    <t>abrazadera grande</t>
  </si>
  <si>
    <t>electrodo 1/8</t>
  </si>
  <si>
    <t>lija 80</t>
  </si>
  <si>
    <t>lija 120</t>
  </si>
  <si>
    <t>lija 60</t>
  </si>
  <si>
    <t>lija 600</t>
  </si>
  <si>
    <t>lija 1200</t>
  </si>
  <si>
    <t>lija 3000</t>
  </si>
  <si>
    <t>juego de destornilladores</t>
  </si>
  <si>
    <t>juego de llaves allen</t>
  </si>
  <si>
    <t>apagadores</t>
  </si>
  <si>
    <t>metros</t>
  </si>
  <si>
    <t>canilla 1/2 x 7/8</t>
  </si>
  <si>
    <t>desague lav. Corto 1 1/4</t>
  </si>
  <si>
    <t>lija 220</t>
  </si>
  <si>
    <t xml:space="preserve">desague flexible </t>
  </si>
  <si>
    <t>BF-1564</t>
  </si>
  <si>
    <t>BN-1650</t>
  </si>
  <si>
    <t>BF-1857</t>
  </si>
  <si>
    <t xml:space="preserve">llave de tubos </t>
  </si>
  <si>
    <t>alicate de presión</t>
  </si>
  <si>
    <t>llave ajustable</t>
  </si>
  <si>
    <t>Mezclador de adhesivo</t>
  </si>
  <si>
    <t>BF-1757</t>
  </si>
  <si>
    <t>COMPUESTO DE CERA</t>
  </si>
  <si>
    <t>SP-0915</t>
  </si>
  <si>
    <t>ROJO 485 2X</t>
  </si>
  <si>
    <t>CREMA ALVARIGUA</t>
  </si>
  <si>
    <t>BL-2136</t>
  </si>
  <si>
    <t>AZUL FONDO SUPERIOR</t>
  </si>
  <si>
    <t>AZUL ESPIGA SUPERIOR</t>
  </si>
  <si>
    <t>AZUL 293</t>
  </si>
  <si>
    <t>CREMA MARY</t>
  </si>
  <si>
    <t>BL-2169</t>
  </si>
  <si>
    <t>OCRE ESPIGA MARY</t>
  </si>
  <si>
    <t>BL-2170</t>
  </si>
  <si>
    <t xml:space="preserve">INVENTARIO DE QUÍMICOS </t>
  </si>
  <si>
    <t xml:space="preserve">INVENTARIO DE CONSUMIBLES </t>
  </si>
  <si>
    <t>INVENTARIO DE CONSUMIBLES</t>
  </si>
  <si>
    <t>mechas para concreto 3/8</t>
  </si>
  <si>
    <t>Linterna</t>
  </si>
  <si>
    <t>calculadora</t>
  </si>
  <si>
    <t>corrector liquido</t>
  </si>
  <si>
    <t>BL-0985</t>
  </si>
  <si>
    <t>camara de aire t/"a" 15mm</t>
  </si>
  <si>
    <t>rodamientos nk3530-tv-xl</t>
  </si>
  <si>
    <t>rodamiento 6208-2zr-c3</t>
  </si>
  <si>
    <t>carpetas lomo ancho</t>
  </si>
  <si>
    <t>TOTAL</t>
  </si>
  <si>
    <t>MORADO LUCIANO</t>
  </si>
  <si>
    <t>BF-1738</t>
  </si>
  <si>
    <t>ROJO LUCIANO</t>
  </si>
  <si>
    <t>BF-1740</t>
  </si>
  <si>
    <t xml:space="preserve">VERDE BABO </t>
  </si>
  <si>
    <t>BL-2188</t>
  </si>
  <si>
    <t>guantes de latex negros</t>
  </si>
  <si>
    <t>martillo de goma pequeño</t>
  </si>
  <si>
    <t>Cinta morropack marron 2*90</t>
  </si>
  <si>
    <t>Cinta morropack marron 2*40</t>
  </si>
  <si>
    <t>Cinta morropack marron 2*150</t>
  </si>
  <si>
    <t>PERLADO</t>
  </si>
  <si>
    <t>AMARILLO PROCESO (FAVIKA)</t>
  </si>
  <si>
    <t>Marcador acrilico</t>
  </si>
  <si>
    <t>BF-1874</t>
  </si>
  <si>
    <t>BARNIZ SOBRE IMPRE</t>
  </si>
  <si>
    <t>BN-1692</t>
  </si>
  <si>
    <t>PRODUTO</t>
  </si>
  <si>
    <t>PRODUCTO</t>
  </si>
  <si>
    <t>USAR EN</t>
  </si>
  <si>
    <t>SUB TOTAL</t>
  </si>
  <si>
    <t>PEBD PIGMENT</t>
  </si>
  <si>
    <t xml:space="preserve">SUB TOT </t>
  </si>
  <si>
    <t>AZUL REFLEX</t>
  </si>
  <si>
    <t>BF-1570</t>
  </si>
  <si>
    <t>FS-1007</t>
  </si>
  <si>
    <t>VERDE 355</t>
  </si>
  <si>
    <t>BL-2119</t>
  </si>
  <si>
    <t>talonarios de corte</t>
  </si>
  <si>
    <t>VERDE DAMASCO</t>
  </si>
  <si>
    <t>BL-2105</t>
  </si>
  <si>
    <t>MAGENTA TRAMA DIGITAL</t>
  </si>
  <si>
    <t>BL-2003</t>
  </si>
  <si>
    <t>AMARILLO PROCESO</t>
  </si>
  <si>
    <t>camara de aire t/"a" 20mm</t>
  </si>
  <si>
    <t>INVENTARIO DE SUSTRATOS EN DEPOSITO</t>
  </si>
  <si>
    <t>bombillo led GRANDE</t>
  </si>
  <si>
    <t>bombillo led PEQUEÑO</t>
  </si>
  <si>
    <t>*660*</t>
  </si>
  <si>
    <t>BL-2037</t>
  </si>
  <si>
    <t>Pantonera</t>
  </si>
  <si>
    <t>ducto flexadrux 4" x 25ft</t>
  </si>
  <si>
    <t>ROJO 485 "C"</t>
  </si>
  <si>
    <t>FERRETERIA</t>
  </si>
  <si>
    <t>INVENTARIO DE CONSUMIBLES DE FERRETERIA</t>
  </si>
  <si>
    <t>INVENTARIO DE CONSUMIBLES DE PAPELERIA</t>
  </si>
  <si>
    <t>INVENTARIO DE CONSUMIBLES DE LIMPIEZA</t>
  </si>
  <si>
    <t>CHARMY</t>
  </si>
  <si>
    <t>TOM 80</t>
  </si>
  <si>
    <t>TOM 28</t>
  </si>
  <si>
    <t>YICITOS</t>
  </si>
  <si>
    <t>GRANOS</t>
  </si>
  <si>
    <t>AVENAS / CARAOTAS ALVARIGUA</t>
  </si>
  <si>
    <t>MAYONESA</t>
  </si>
  <si>
    <t>CREMA ARROZ</t>
  </si>
  <si>
    <t>NUTRITONY</t>
  </si>
  <si>
    <t>CAFÉ 200</t>
  </si>
  <si>
    <t>PUIG 24g</t>
  </si>
  <si>
    <t>PUIG 240g</t>
  </si>
  <si>
    <t>CAFÉ 500g</t>
  </si>
  <si>
    <t>CAFÉ 200g</t>
  </si>
  <si>
    <t>FINA BLOQ</t>
  </si>
  <si>
    <t>ESPIGA</t>
  </si>
  <si>
    <t>BARITOS</t>
  </si>
  <si>
    <t>NATY</t>
  </si>
  <si>
    <t>POLET-OSTI</t>
  </si>
  <si>
    <t>YOCOIMA 200</t>
  </si>
  <si>
    <t>CAFÉ 200 MATE</t>
  </si>
  <si>
    <t>CALI</t>
  </si>
  <si>
    <t>SIRENA 500</t>
  </si>
  <si>
    <t>INALSA</t>
  </si>
  <si>
    <t>SIRENA CORTA</t>
  </si>
  <si>
    <t>GISELA CORTA</t>
  </si>
  <si>
    <t>SIRENA LARGA</t>
  </si>
  <si>
    <t>MARY PREM</t>
  </si>
  <si>
    <t>MARY TRAD</t>
  </si>
  <si>
    <t>HARINA URBANO</t>
  </si>
  <si>
    <t>HARINA</t>
  </si>
  <si>
    <t>LECHE LAM</t>
  </si>
  <si>
    <t>MARY DORADO</t>
  </si>
  <si>
    <t>MARY ESMERALDA</t>
  </si>
  <si>
    <t>ZAFIRO</t>
  </si>
  <si>
    <t>BABO 72</t>
  </si>
  <si>
    <t>LECHE</t>
  </si>
  <si>
    <t>FL-1016</t>
  </si>
  <si>
    <t>EXTENDER (FAVIKA)</t>
  </si>
  <si>
    <t>FL-6021</t>
  </si>
  <si>
    <t>MAGENTA PROCESO (FAVIKA)</t>
  </si>
  <si>
    <t>FL-30102</t>
  </si>
  <si>
    <t>BLANCO (FAVIKA)</t>
  </si>
  <si>
    <t>FL-50174</t>
  </si>
  <si>
    <t>AZUL PROCESO (FAVIKA)</t>
  </si>
  <si>
    <t>FL-20101</t>
  </si>
  <si>
    <t>ROJO P-485 (FAVIKA)</t>
  </si>
  <si>
    <t>Llave de paso 3/8" comexi N.</t>
  </si>
  <si>
    <t>NEGRO PROCESO HD LAMINACION</t>
  </si>
  <si>
    <t>FL-40103</t>
  </si>
  <si>
    <t>PEBD PIGM</t>
  </si>
  <si>
    <t>PERLADO|</t>
  </si>
  <si>
    <t>Borrador de nata (624) mayka</t>
  </si>
  <si>
    <t>Forma iteveca vale</t>
  </si>
  <si>
    <t>Carpeta marron oficio</t>
  </si>
  <si>
    <t>Carpeta marron extraoficio</t>
  </si>
  <si>
    <t>Carpeta marron carta plastificada</t>
  </si>
  <si>
    <t>Carpeta para archivador</t>
  </si>
  <si>
    <t>Tabla de chequeo</t>
  </si>
  <si>
    <t>Cepillo limpia poceta</t>
  </si>
  <si>
    <t>Porta Cinta con cinta Adhesiva</t>
  </si>
  <si>
    <t>Sobre blanco pequeño</t>
  </si>
  <si>
    <t xml:space="preserve"> </t>
  </si>
  <si>
    <t>LIMPIEZA</t>
  </si>
  <si>
    <t>REPUESTOS VARIOS</t>
  </si>
  <si>
    <t>PAPELERIA</t>
  </si>
  <si>
    <t>Hojilla de Racla 0,20*40mm</t>
  </si>
  <si>
    <t>Hojilla de Racla 0,20*38mm</t>
  </si>
  <si>
    <t>Hojilla de Racla 0,20*35mm</t>
  </si>
  <si>
    <t>HERRAMIENTAS</t>
  </si>
  <si>
    <t>Cinta morropack marron</t>
  </si>
  <si>
    <t>FL-30326</t>
  </si>
  <si>
    <t>Grapas metalicas 1/2 (paq)</t>
  </si>
  <si>
    <t>Guantes multiusos</t>
  </si>
  <si>
    <t>Esponja</t>
  </si>
  <si>
    <t>Pala plastica con cabo</t>
  </si>
  <si>
    <t>Exprimidor de mopas</t>
  </si>
  <si>
    <t>Tobos 10 litros</t>
  </si>
  <si>
    <t>Tobos 12 litros</t>
  </si>
  <si>
    <t>Palo de cepillo</t>
  </si>
  <si>
    <t>NARANJA MARY FAVIKA</t>
  </si>
  <si>
    <t>FL-30342</t>
  </si>
  <si>
    <t xml:space="preserve">INVENTARIO DE TINTAS </t>
  </si>
  <si>
    <t>Lampazo</t>
  </si>
  <si>
    <t>Borrador nata (624) mayka</t>
  </si>
  <si>
    <t>Bomba de enfriamiento comexi</t>
  </si>
  <si>
    <t>DON JULIAN</t>
  </si>
  <si>
    <t>SIN TRATAMIENTO</t>
  </si>
  <si>
    <t>PAVECA</t>
  </si>
  <si>
    <t>Resma de hojas T. carta</t>
  </si>
  <si>
    <t>LAMINACION</t>
  </si>
  <si>
    <t>AZUL PROCESO FLEXO SUPERFICIE</t>
  </si>
  <si>
    <t>BF-0134</t>
  </si>
  <si>
    <t>Fleje plastico 1/2 x 12mm</t>
  </si>
  <si>
    <t>Hoja de para Segueta</t>
  </si>
  <si>
    <t>Toma corriente 110 vlt</t>
  </si>
  <si>
    <t>Enchufe 110 vlt</t>
  </si>
  <si>
    <t>Velumoide (papel empacadura)</t>
  </si>
  <si>
    <t>mts</t>
  </si>
  <si>
    <t>AZUCAR SABANA DUL.</t>
  </si>
  <si>
    <t>Guantes de neopreno</t>
  </si>
  <si>
    <t>BL-1745</t>
  </si>
  <si>
    <t>CALI DONA</t>
  </si>
  <si>
    <t>GISELA LARGA</t>
  </si>
  <si>
    <t>GELATINA</t>
  </si>
  <si>
    <t>MARGARINA</t>
  </si>
  <si>
    <t>OSTIS-MARGARINA</t>
  </si>
  <si>
    <t>CALI POLET-OSTIS</t>
  </si>
  <si>
    <t>MICAELA</t>
  </si>
  <si>
    <t xml:space="preserve">NATY </t>
  </si>
  <si>
    <t>YOCOIMA 100</t>
  </si>
  <si>
    <t>MASANTONI- FINA</t>
  </si>
  <si>
    <t>AVENA Y ZAFIRO</t>
  </si>
  <si>
    <t>ETIQUETA Y BARITOS</t>
  </si>
  <si>
    <t>CALI POLET - OSTIS</t>
  </si>
  <si>
    <t>ETIQUETA Y BARITO</t>
  </si>
  <si>
    <t>CAFÉ 500 ALVARIGUA</t>
  </si>
  <si>
    <t>BUDARE - FATY</t>
  </si>
  <si>
    <t>D´VITA</t>
  </si>
  <si>
    <t>ZAFIRO VIEJO</t>
  </si>
  <si>
    <t>KALY</t>
  </si>
  <si>
    <t>DETERGENTE</t>
  </si>
  <si>
    <t>DELICIAS - DUQUESA</t>
  </si>
  <si>
    <t>DULCE DÍA</t>
  </si>
  <si>
    <t>YOCOIMA 500</t>
  </si>
  <si>
    <t>CAFÉ 500 GR</t>
  </si>
  <si>
    <t>PRUEBA LAMINACION</t>
  </si>
  <si>
    <t>FECHA:</t>
  </si>
  <si>
    <t>MARY</t>
  </si>
  <si>
    <t>Cepillo de barrer celda gruesa</t>
  </si>
  <si>
    <t>SANTONI</t>
  </si>
  <si>
    <t>MI MASA900 G</t>
  </si>
  <si>
    <t>ESPIGA-AVENA DOÑA</t>
  </si>
  <si>
    <t>MARY PREMIUM</t>
  </si>
  <si>
    <t>HARINA LAS VIRGENES</t>
  </si>
  <si>
    <t>DON JULIAN 2,5</t>
  </si>
  <si>
    <t>INVENTARIO DE UNIFORMES</t>
  </si>
  <si>
    <t>TALLA</t>
  </si>
  <si>
    <t>DESCRIPCION</t>
  </si>
  <si>
    <t>DELANTAL DE CUERINA</t>
  </si>
  <si>
    <t>S/N</t>
  </si>
  <si>
    <t>DELANTAL SINTETICO</t>
  </si>
  <si>
    <t>CHEMISE PARA DAMA</t>
  </si>
  <si>
    <t>QUIMONO DAMA</t>
  </si>
  <si>
    <t>S</t>
  </si>
  <si>
    <t>L/G</t>
  </si>
  <si>
    <t>CAMISA TIPO COLIMBIA DAMA</t>
  </si>
  <si>
    <t>XX</t>
  </si>
  <si>
    <t>CAMISA MANGA LARGA DAMA</t>
  </si>
  <si>
    <t>M/M</t>
  </si>
  <si>
    <t>CAMISA PARA MECANICO MANGA LARGA</t>
  </si>
  <si>
    <t>JEANS PARA DAMA</t>
  </si>
  <si>
    <t>JEANS PARA CABALLERO</t>
  </si>
  <si>
    <t>PANTALON DE VESTIR PARA DAMA</t>
  </si>
  <si>
    <t>PANTALON DE VESTIR PARA CABALLERO</t>
  </si>
  <si>
    <t>ARROZ SANTONI /ALICIA</t>
  </si>
  <si>
    <t>SAL ARRECIFE 500GR</t>
  </si>
  <si>
    <t>SAL ARRECIFE 1 KG</t>
  </si>
  <si>
    <t>Bolsas negras pequeñas</t>
  </si>
  <si>
    <t>GELATINA JUMPI</t>
  </si>
  <si>
    <t>ARROZ DON JULIAN</t>
  </si>
  <si>
    <t>IMPORT.</t>
  </si>
  <si>
    <t>BLANCO LAMINACION</t>
  </si>
  <si>
    <t>TINLAM-0001</t>
  </si>
  <si>
    <t>TINLAM-0003</t>
  </si>
  <si>
    <t>TINLAM-0005</t>
  </si>
  <si>
    <t>TINSUP-0002</t>
  </si>
  <si>
    <t>ROJO P-485 2X-C</t>
  </si>
  <si>
    <t>TINLAM-0007</t>
  </si>
  <si>
    <t>TINLAM-0002</t>
  </si>
  <si>
    <t>EXTENDER</t>
  </si>
  <si>
    <t>TINLAM-0006</t>
  </si>
  <si>
    <t>TINLAM-0008</t>
  </si>
  <si>
    <t>AZUCAR LA PASTORA</t>
  </si>
  <si>
    <t>Guantes de nitrilo verdes XL</t>
  </si>
  <si>
    <t>Guantes de nitrilo verdes XXL</t>
  </si>
  <si>
    <t>Guantes quirurgicos</t>
  </si>
  <si>
    <t>Tirro blanco 1"</t>
  </si>
  <si>
    <t>Ajax en polvo 595 gr</t>
  </si>
  <si>
    <t>Tirrap 7,6 x 300 mm</t>
  </si>
  <si>
    <t>BF-1718</t>
  </si>
  <si>
    <t>LECHE 900g Y 1 kg</t>
  </si>
  <si>
    <t>HASHI - CHUNCHY</t>
  </si>
  <si>
    <t>OSTIS - MARGARINA</t>
  </si>
  <si>
    <t>DAMASCO - YIICITOS</t>
  </si>
  <si>
    <t>TRINKETS 70g</t>
  </si>
  <si>
    <t>DAMASCO</t>
  </si>
  <si>
    <t>TRINKETS 40g</t>
  </si>
  <si>
    <t>LECHE 200g CREMA A.</t>
  </si>
  <si>
    <t>NUTRITONI</t>
  </si>
  <si>
    <t>LECHE 200g CREMA A</t>
  </si>
  <si>
    <t>OJO D´VITA</t>
  </si>
  <si>
    <t>REGINA</t>
  </si>
  <si>
    <t>Pega Loca</t>
  </si>
  <si>
    <t>CACAO</t>
  </si>
  <si>
    <t>VERDE MARY LAMINACION</t>
  </si>
  <si>
    <t>BL-1913</t>
  </si>
  <si>
    <t>CAST IMPORT.</t>
  </si>
  <si>
    <t>BOPP IMPORT</t>
  </si>
  <si>
    <t>MATE IMPORT.</t>
  </si>
  <si>
    <t>PASTA IMPORT.</t>
  </si>
  <si>
    <t>BUDARE</t>
  </si>
  <si>
    <t>METAL IMPORT.</t>
  </si>
  <si>
    <t xml:space="preserve">          </t>
  </si>
  <si>
    <t>NARANJA BUDARE LAMINACION</t>
  </si>
  <si>
    <t>BL-2259</t>
  </si>
  <si>
    <t>AZUL BUDARE LAMINACION</t>
  </si>
  <si>
    <t>BL-2260</t>
  </si>
  <si>
    <t>MARRON P-4725 LAMINACION</t>
  </si>
  <si>
    <t>BL-2210</t>
  </si>
  <si>
    <t xml:space="preserve">       INVENTARIO DE TINTAS </t>
  </si>
  <si>
    <t>Acople de teflon corta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</si>
</sst>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0" fillId="14" borderId="0" applyNumberFormat="0" applyBorder="0" applyAlignment="0" applyProtection="0"/>
  </cellStyleXfs>
  <cellXfs count="269">
    <xf numFmtId="0" fontId="0" fillId="0" borderId="0" xfId="0"/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4" fontId="0" fillId="0" borderId="0" xfId="0" applyNumberFormat="1"/>
    <xf numFmtId="0" fontId="2" fillId="0" borderId="0" xfId="0" applyFont="1"/>
    <xf numFmtId="4" fontId="2" fillId="0" borderId="0" xfId="0" applyNumberFormat="1" applyFont="1"/>
    <xf numFmtId="0" fontId="1" fillId="0" borderId="1" xfId="0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0" fillId="0" borderId="0" xfId="0" applyFill="1"/>
    <xf numFmtId="0" fontId="3" fillId="7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4" fontId="0" fillId="0" borderId="0" xfId="0" applyNumberForma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/>
    <xf numFmtId="0" fontId="1" fillId="0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7" borderId="1" xfId="0" applyFont="1" applyFill="1" applyBorder="1" applyAlignment="1">
      <alignment horizontal="center" vertical="center"/>
    </xf>
    <xf numFmtId="0" fontId="2" fillId="0" borderId="0" xfId="0" applyFont="1" applyAlignment="1"/>
    <xf numFmtId="164" fontId="1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0" fontId="1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left" vertical="center"/>
    </xf>
    <xf numFmtId="3" fontId="1" fillId="11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/>
    </xf>
    <xf numFmtId="3" fontId="1" fillId="12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left" vertical="center"/>
    </xf>
    <xf numFmtId="3" fontId="1" fillId="13" borderId="1" xfId="0" applyNumberFormat="1" applyFont="1" applyFill="1" applyBorder="1" applyAlignment="1">
      <alignment horizontal="center" vertical="center" wrapText="1"/>
    </xf>
    <xf numFmtId="164" fontId="1" fillId="11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5" fillId="11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0" borderId="0" xfId="0" applyFont="1" applyFill="1"/>
    <xf numFmtId="0" fontId="7" fillId="0" borderId="0" xfId="0" applyFont="1"/>
    <xf numFmtId="3" fontId="8" fillId="6" borderId="1" xfId="0" applyNumberFormat="1" applyFont="1" applyFill="1" applyBorder="1" applyAlignment="1">
      <alignment horizontal="center" vertical="center" wrapText="1"/>
    </xf>
    <xf numFmtId="4" fontId="7" fillId="6" borderId="1" xfId="0" applyNumberFormat="1" applyFont="1" applyFill="1" applyBorder="1" applyAlignment="1">
      <alignment horizontal="center"/>
    </xf>
    <xf numFmtId="3" fontId="7" fillId="8" borderId="1" xfId="0" applyNumberFormat="1" applyFont="1" applyFill="1" applyBorder="1" applyAlignment="1">
      <alignment horizontal="center"/>
    </xf>
    <xf numFmtId="4" fontId="7" fillId="8" borderId="1" xfId="0" applyNumberFormat="1" applyFont="1" applyFill="1" applyBorder="1" applyAlignment="1">
      <alignment horizontal="center"/>
    </xf>
    <xf numFmtId="4" fontId="7" fillId="0" borderId="0" xfId="0" applyNumberFormat="1" applyFont="1"/>
    <xf numFmtId="4" fontId="7" fillId="0" borderId="0" xfId="0" applyNumberFormat="1" applyFont="1" applyFill="1"/>
    <xf numFmtId="0" fontId="7" fillId="6" borderId="1" xfId="0" applyFont="1" applyFill="1" applyBorder="1" applyAlignment="1">
      <alignment horizontal="center"/>
    </xf>
    <xf numFmtId="4" fontId="7" fillId="6" borderId="4" xfId="0" applyNumberFormat="1" applyFont="1" applyFill="1" applyBorder="1" applyAlignment="1">
      <alignment horizontal="center"/>
    </xf>
    <xf numFmtId="3" fontId="7" fillId="9" borderId="1" xfId="0" applyNumberFormat="1" applyFont="1" applyFill="1" applyBorder="1" applyAlignment="1">
      <alignment horizontal="center"/>
    </xf>
    <xf numFmtId="4" fontId="7" fillId="9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4" fontId="7" fillId="10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4" fontId="7" fillId="9" borderId="4" xfId="0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" fontId="7" fillId="10" borderId="5" xfId="0" applyNumberFormat="1" applyFont="1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" fontId="7" fillId="6" borderId="1" xfId="0" applyNumberFormat="1" applyFont="1" applyFill="1" applyBorder="1" applyAlignment="1">
      <alignment horizontal="left"/>
    </xf>
    <xf numFmtId="4" fontId="7" fillId="6" borderId="1" xfId="0" applyNumberFormat="1" applyFont="1" applyFill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left"/>
    </xf>
    <xf numFmtId="4" fontId="7" fillId="8" borderId="1" xfId="0" applyNumberFormat="1" applyFont="1" applyFill="1" applyBorder="1" applyAlignment="1">
      <alignment horizontal="center" vertical="center"/>
    </xf>
    <xf numFmtId="4" fontId="7" fillId="9" borderId="1" xfId="0" applyNumberFormat="1" applyFont="1" applyFill="1" applyBorder="1" applyAlignment="1">
      <alignment horizontal="left"/>
    </xf>
    <xf numFmtId="4" fontId="7" fillId="9" borderId="1" xfId="0" applyNumberFormat="1" applyFont="1" applyFill="1" applyBorder="1" applyAlignment="1">
      <alignment horizontal="center" vertical="center"/>
    </xf>
    <xf numFmtId="4" fontId="7" fillId="10" borderId="1" xfId="0" applyNumberFormat="1" applyFont="1" applyFill="1" applyBorder="1" applyAlignment="1">
      <alignment horizontal="left"/>
    </xf>
    <xf numFmtId="0" fontId="7" fillId="9" borderId="1" xfId="0" applyFont="1" applyFill="1" applyBorder="1" applyAlignment="1">
      <alignment horizontal="left"/>
    </xf>
    <xf numFmtId="4" fontId="6" fillId="3" borderId="1" xfId="0" applyNumberFormat="1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4" fontId="11" fillId="10" borderId="1" xfId="0" applyNumberFormat="1" applyFont="1" applyFill="1" applyBorder="1" applyAlignment="1">
      <alignment horizontal="center"/>
    </xf>
    <xf numFmtId="3" fontId="6" fillId="9" borderId="1" xfId="0" applyNumberFormat="1" applyFont="1" applyFill="1" applyBorder="1" applyAlignment="1">
      <alignment horizontal="center"/>
    </xf>
    <xf numFmtId="4" fontId="6" fillId="9" borderId="1" xfId="0" applyNumberFormat="1" applyFont="1" applyFill="1" applyBorder="1" applyAlignment="1">
      <alignment horizontal="center"/>
    </xf>
    <xf numFmtId="4" fontId="7" fillId="6" borderId="4" xfId="0" applyNumberFormat="1" applyFont="1" applyFill="1" applyBorder="1" applyAlignment="1">
      <alignment horizontal="left"/>
    </xf>
    <xf numFmtId="4" fontId="12" fillId="6" borderId="1" xfId="0" applyNumberFormat="1" applyFont="1" applyFill="1" applyBorder="1" applyAlignment="1">
      <alignment horizontal="left"/>
    </xf>
    <xf numFmtId="4" fontId="7" fillId="9" borderId="4" xfId="0" applyNumberFormat="1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4" fontId="7" fillId="6" borderId="5" xfId="0" applyNumberFormat="1" applyFont="1" applyFill="1" applyBorder="1" applyAlignment="1">
      <alignment horizontal="left"/>
    </xf>
    <xf numFmtId="4" fontId="7" fillId="6" borderId="5" xfId="0" applyNumberFormat="1" applyFont="1" applyFill="1" applyBorder="1" applyAlignment="1">
      <alignment horizontal="center"/>
    </xf>
    <xf numFmtId="4" fontId="12" fillId="6" borderId="1" xfId="0" applyNumberFormat="1" applyFont="1" applyFill="1" applyBorder="1" applyAlignment="1">
      <alignment horizontal="center" vertical="center"/>
    </xf>
    <xf numFmtId="4" fontId="12" fillId="10" borderId="1" xfId="0" applyNumberFormat="1" applyFont="1" applyFill="1" applyBorder="1" applyAlignment="1">
      <alignment horizontal="center" vertical="center"/>
    </xf>
    <xf numFmtId="4" fontId="12" fillId="9" borderId="1" xfId="0" applyNumberFormat="1" applyFont="1" applyFill="1" applyBorder="1" applyAlignment="1">
      <alignment horizontal="center" vertical="center"/>
    </xf>
    <xf numFmtId="4" fontId="13" fillId="3" borderId="1" xfId="0" applyNumberFormat="1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 wrapText="1"/>
    </xf>
    <xf numFmtId="3" fontId="10" fillId="6" borderId="0" xfId="0" applyNumberFormat="1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/>
    </xf>
    <xf numFmtId="4" fontId="7" fillId="6" borderId="0" xfId="0" applyNumberFormat="1" applyFont="1" applyFill="1" applyBorder="1" applyAlignment="1">
      <alignment horizontal="center"/>
    </xf>
    <xf numFmtId="4" fontId="7" fillId="6" borderId="0" xfId="0" applyNumberFormat="1" applyFont="1" applyFill="1" applyBorder="1" applyAlignment="1">
      <alignment horizontal="left"/>
    </xf>
    <xf numFmtId="0" fontId="7" fillId="5" borderId="0" xfId="0" applyFont="1" applyFill="1" applyBorder="1" applyAlignment="1">
      <alignment horizontal="center" vertical="center"/>
    </xf>
    <xf numFmtId="3" fontId="7" fillId="5" borderId="0" xfId="0" applyNumberFormat="1" applyFont="1" applyFill="1" applyBorder="1" applyAlignment="1">
      <alignment horizontal="center" vertical="center" wrapText="1"/>
    </xf>
    <xf numFmtId="3" fontId="7" fillId="5" borderId="0" xfId="0" applyNumberFormat="1" applyFont="1" applyFill="1" applyBorder="1" applyAlignment="1">
      <alignment horizontal="center"/>
    </xf>
    <xf numFmtId="4" fontId="14" fillId="6" borderId="1" xfId="0" applyNumberFormat="1" applyFont="1" applyFill="1" applyBorder="1" applyAlignment="1">
      <alignment horizontal="left"/>
    </xf>
    <xf numFmtId="4" fontId="7" fillId="6" borderId="1" xfId="0" quotePrefix="1" applyNumberFormat="1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 wrapText="1"/>
    </xf>
    <xf numFmtId="3" fontId="7" fillId="10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/>
    <xf numFmtId="0" fontId="12" fillId="6" borderId="1" xfId="0" applyFont="1" applyFill="1" applyBorder="1" applyAlignment="1">
      <alignment vertical="center" wrapText="1"/>
    </xf>
    <xf numFmtId="164" fontId="0" fillId="0" borderId="0" xfId="0" applyNumberFormat="1" applyFill="1"/>
    <xf numFmtId="3" fontId="0" fillId="0" borderId="0" xfId="0" applyNumberFormat="1" applyFill="1"/>
    <xf numFmtId="0" fontId="5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" fontId="8" fillId="6" borderId="1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3" fontId="1" fillId="0" borderId="0" xfId="0" applyNumberFormat="1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4" fontId="14" fillId="1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4" fontId="7" fillId="6" borderId="3" xfId="0" applyNumberFormat="1" applyFont="1" applyFill="1" applyBorder="1" applyAlignment="1">
      <alignment horizontal="left"/>
    </xf>
    <xf numFmtId="0" fontId="7" fillId="9" borderId="3" xfId="0" applyFont="1" applyFill="1" applyBorder="1" applyAlignment="1">
      <alignment horizontal="center" vertical="center" wrapText="1"/>
    </xf>
    <xf numFmtId="3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3" fontId="7" fillId="0" borderId="0" xfId="0" applyNumberFormat="1" applyFont="1" applyFill="1" applyBorder="1" applyAlignment="1">
      <alignment horizontal="center" vertical="center" wrapText="1"/>
    </xf>
    <xf numFmtId="4" fontId="7" fillId="0" borderId="0" xfId="0" applyNumberFormat="1" applyFont="1" applyFill="1" applyBorder="1" applyAlignment="1">
      <alignment horizontal="center"/>
    </xf>
    <xf numFmtId="0" fontId="0" fillId="0" borderId="9" xfId="0" applyBorder="1"/>
    <xf numFmtId="0" fontId="6" fillId="0" borderId="10" xfId="0" applyFont="1" applyFill="1" applyBorder="1" applyAlignment="1">
      <alignment horizontal="center" vertical="center"/>
    </xf>
    <xf numFmtId="4" fontId="7" fillId="0" borderId="10" xfId="0" applyNumberFormat="1" applyFont="1" applyFill="1" applyBorder="1" applyAlignment="1">
      <alignment horizontal="center" vertical="center"/>
    </xf>
    <xf numFmtId="4" fontId="12" fillId="0" borderId="10" xfId="0" applyNumberFormat="1" applyFont="1" applyFill="1" applyBorder="1" applyAlignment="1">
      <alignment horizontal="center" vertical="center"/>
    </xf>
    <xf numFmtId="0" fontId="0" fillId="0" borderId="11" xfId="0" applyFont="1" applyBorder="1"/>
    <xf numFmtId="4" fontId="13" fillId="0" borderId="0" xfId="0" applyNumberFormat="1" applyFont="1" applyFill="1" applyBorder="1" applyAlignment="1">
      <alignment horizontal="center" vertical="center"/>
    </xf>
    <xf numFmtId="0" fontId="17" fillId="0" borderId="1" xfId="0" applyFont="1" applyFill="1" applyBorder="1"/>
    <xf numFmtId="0" fontId="18" fillId="0" borderId="1" xfId="0" applyFont="1" applyFill="1" applyBorder="1" applyAlignment="1">
      <alignment horizontal="center"/>
    </xf>
    <xf numFmtId="0" fontId="18" fillId="0" borderId="1" xfId="0" applyFont="1" applyFill="1" applyBorder="1"/>
    <xf numFmtId="0" fontId="7" fillId="6" borderId="3" xfId="0" applyFont="1" applyFill="1" applyBorder="1" applyAlignment="1">
      <alignment horizontal="center" vertical="center" wrapText="1"/>
    </xf>
    <xf numFmtId="0" fontId="3" fillId="0" borderId="0" xfId="0" applyFont="1" applyFill="1" applyAlignment="1"/>
    <xf numFmtId="14" fontId="3" fillId="0" borderId="0" xfId="0" applyNumberFormat="1" applyFont="1" applyFill="1" applyAlignment="1"/>
    <xf numFmtId="0" fontId="0" fillId="4" borderId="1" xfId="0" applyFill="1" applyBorder="1" applyAlignment="1">
      <alignment horizontal="center"/>
    </xf>
    <xf numFmtId="0" fontId="19" fillId="0" borderId="0" xfId="0" applyFont="1"/>
    <xf numFmtId="0" fontId="19" fillId="9" borderId="1" xfId="0" applyFont="1" applyFill="1" applyBorder="1" applyAlignment="1">
      <alignment horizontal="center"/>
    </xf>
    <xf numFmtId="0" fontId="20" fillId="14" borderId="1" xfId="1" applyBorder="1" applyAlignment="1">
      <alignment horizontal="center"/>
    </xf>
    <xf numFmtId="4" fontId="7" fillId="9" borderId="5" xfId="0" applyNumberFormat="1" applyFont="1" applyFill="1" applyBorder="1" applyAlignment="1">
      <alignment horizontal="center"/>
    </xf>
    <xf numFmtId="4" fontId="7" fillId="9" borderId="5" xfId="0" applyNumberFormat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4" fontId="6" fillId="10" borderId="1" xfId="0" applyNumberFormat="1" applyFont="1" applyFill="1" applyBorder="1" applyAlignment="1">
      <alignment horizontal="left"/>
    </xf>
    <xf numFmtId="4" fontId="6" fillId="6" borderId="1" xfId="0" applyNumberFormat="1" applyFont="1" applyFill="1" applyBorder="1" applyAlignment="1">
      <alignment horizontal="left"/>
    </xf>
    <xf numFmtId="4" fontId="6" fillId="6" borderId="3" xfId="0" applyNumberFormat="1" applyFont="1" applyFill="1" applyBorder="1" applyAlignment="1">
      <alignment horizontal="left"/>
    </xf>
    <xf numFmtId="0" fontId="0" fillId="0" borderId="0" xfId="0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7" fillId="9" borderId="3" xfId="0" applyFont="1" applyFill="1" applyBorder="1" applyAlignment="1">
      <alignment horizontal="center" vertical="center" wrapText="1"/>
    </xf>
    <xf numFmtId="3" fontId="8" fillId="10" borderId="3" xfId="0" applyNumberFormat="1" applyFont="1" applyFill="1" applyBorder="1" applyAlignment="1">
      <alignment horizontal="center" vertical="center" wrapText="1"/>
    </xf>
    <xf numFmtId="164" fontId="21" fillId="0" borderId="1" xfId="0" applyNumberFormat="1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1" fillId="14" borderId="1" xfId="1" applyFont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 vertical="center" wrapText="1"/>
    </xf>
    <xf numFmtId="3" fontId="7" fillId="6" borderId="1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horizontal="center"/>
    </xf>
    <xf numFmtId="4" fontId="0" fillId="0" borderId="0" xfId="0" applyNumberFormat="1" applyBorder="1"/>
    <xf numFmtId="0" fontId="0" fillId="0" borderId="0" xfId="0" applyFill="1" applyBorder="1"/>
    <xf numFmtId="4" fontId="7" fillId="0" borderId="7" xfId="0" applyNumberFormat="1" applyFont="1" applyFill="1" applyBorder="1" applyAlignment="1">
      <alignment horizontal="center"/>
    </xf>
    <xf numFmtId="3" fontId="7" fillId="15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4" fontId="6" fillId="8" borderId="1" xfId="0" applyNumberFormat="1" applyFont="1" applyFill="1" applyBorder="1" applyAlignment="1">
      <alignment horizontal="left"/>
    </xf>
    <xf numFmtId="3" fontId="21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" fontId="6" fillId="9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0" fillId="0" borderId="1" xfId="1" applyFill="1" applyBorder="1" applyAlignment="1">
      <alignment horizontal="center"/>
    </xf>
    <xf numFmtId="14" fontId="1" fillId="0" borderId="0" xfId="0" applyNumberFormat="1" applyFont="1" applyAlignment="1"/>
    <xf numFmtId="14" fontId="1" fillId="0" borderId="0" xfId="0" applyNumberFormat="1" applyFont="1"/>
    <xf numFmtId="14" fontId="22" fillId="0" borderId="0" xfId="0" applyNumberFormat="1" applyFont="1" applyFill="1" applyAlignment="1">
      <alignment horizontal="left" vertical="center"/>
    </xf>
    <xf numFmtId="0" fontId="7" fillId="6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3" fontId="8" fillId="6" borderId="3" xfId="0" applyNumberFormat="1" applyFont="1" applyFill="1" applyBorder="1" applyAlignment="1">
      <alignment horizontal="center" vertical="center" wrapText="1"/>
    </xf>
    <xf numFmtId="3" fontId="8" fillId="6" borderId="5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3" fontId="7" fillId="5" borderId="3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5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8" borderId="3" xfId="0" applyNumberFormat="1" applyFont="1" applyFill="1" applyBorder="1" applyAlignment="1">
      <alignment horizontal="center" vertical="center" wrapText="1"/>
    </xf>
    <xf numFmtId="3" fontId="8" fillId="8" borderId="4" xfId="0" applyNumberFormat="1" applyFont="1" applyFill="1" applyBorder="1" applyAlignment="1">
      <alignment horizontal="center" vertical="center" wrapText="1"/>
    </xf>
    <xf numFmtId="3" fontId="8" fillId="8" borderId="5" xfId="0" applyNumberFormat="1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3" fontId="7" fillId="6" borderId="3" xfId="0" applyNumberFormat="1" applyFont="1" applyFill="1" applyBorder="1" applyAlignment="1">
      <alignment horizontal="center" vertical="center" wrapText="1"/>
    </xf>
    <xf numFmtId="3" fontId="7" fillId="6" borderId="4" xfId="0" applyNumberFormat="1" applyFont="1" applyFill="1" applyBorder="1" applyAlignment="1">
      <alignment horizontal="center" vertical="center" wrapText="1"/>
    </xf>
    <xf numFmtId="3" fontId="7" fillId="6" borderId="5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 wrapText="1"/>
    </xf>
    <xf numFmtId="3" fontId="8" fillId="5" borderId="5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3" fontId="7" fillId="9" borderId="3" xfId="0" applyNumberFormat="1" applyFont="1" applyFill="1" applyBorder="1" applyAlignment="1">
      <alignment horizontal="center" vertical="center" wrapText="1"/>
    </xf>
    <xf numFmtId="3" fontId="7" fillId="9" borderId="4" xfId="0" applyNumberFormat="1" applyFont="1" applyFill="1" applyBorder="1" applyAlignment="1">
      <alignment horizontal="center" vertical="center" wrapText="1"/>
    </xf>
    <xf numFmtId="3" fontId="7" fillId="9" borderId="5" xfId="0" applyNumberFormat="1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3" fontId="7" fillId="10" borderId="3" xfId="0" applyNumberFormat="1" applyFont="1" applyFill="1" applyBorder="1" applyAlignment="1">
      <alignment horizontal="center" vertical="center" wrapText="1"/>
    </xf>
    <xf numFmtId="3" fontId="7" fillId="10" borderId="4" xfId="0" applyNumberFormat="1" applyFont="1" applyFill="1" applyBorder="1" applyAlignment="1">
      <alignment horizontal="center" vertical="center" wrapText="1"/>
    </xf>
    <xf numFmtId="3" fontId="7" fillId="10" borderId="5" xfId="0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Incorrecto" xfId="1" builtinId="27" customBuiltin="1"/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6753225" cy="49529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753225" cy="4952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6753225" cy="49529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753225" cy="49529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218516</xdr:colOff>
      <xdr:row>0</xdr:row>
      <xdr:rowOff>100852</xdr:rowOff>
    </xdr:from>
    <xdr:to>
      <xdr:col>6</xdr:col>
      <xdr:colOff>200587</xdr:colOff>
      <xdr:row>3</xdr:row>
      <xdr:rowOff>186577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516" y="100852"/>
          <a:ext cx="6087596" cy="657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218516</xdr:colOff>
      <xdr:row>0</xdr:row>
      <xdr:rowOff>100852</xdr:rowOff>
    </xdr:from>
    <xdr:to>
      <xdr:col>6</xdr:col>
      <xdr:colOff>200587</xdr:colOff>
      <xdr:row>3</xdr:row>
      <xdr:rowOff>186577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516" y="100852"/>
          <a:ext cx="6087596" cy="6572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57149</xdr:colOff>
      <xdr:row>1</xdr:row>
      <xdr:rowOff>66675</xdr:rowOff>
    </xdr:from>
    <xdr:ext cx="4048125" cy="771525"/>
    <xdr:pic>
      <xdr:nvPicPr>
        <xdr:cNvPr id="2" name="Imagen 1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4" y="257175"/>
          <a:ext cx="4048125" cy="7715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561974</xdr:colOff>
      <xdr:row>0</xdr:row>
      <xdr:rowOff>95250</xdr:rowOff>
    </xdr:from>
    <xdr:ext cx="5972176" cy="771525"/>
    <xdr:pic>
      <xdr:nvPicPr>
        <xdr:cNvPr id="2" name="Imagen 1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52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561974</xdr:colOff>
      <xdr:row>45</xdr:row>
      <xdr:rowOff>95250</xdr:rowOff>
    </xdr:from>
    <xdr:ext cx="5972176" cy="771525"/>
    <xdr:pic>
      <xdr:nvPicPr>
        <xdr:cNvPr id="3" name="Imagen 2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0106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561974</xdr:colOff>
      <xdr:row>0</xdr:row>
      <xdr:rowOff>95250</xdr:rowOff>
    </xdr:from>
    <xdr:ext cx="5972176" cy="771525"/>
    <xdr:pic>
      <xdr:nvPicPr>
        <xdr:cNvPr id="2" name="Imagen 1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52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561974</xdr:colOff>
      <xdr:row>46</xdr:row>
      <xdr:rowOff>123825</xdr:rowOff>
    </xdr:from>
    <xdr:ext cx="5972176" cy="771525"/>
    <xdr:pic>
      <xdr:nvPicPr>
        <xdr:cNvPr id="3" name="Imagen 2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89725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609600</xdr:colOff>
      <xdr:row>92</xdr:row>
      <xdr:rowOff>66675</xdr:rowOff>
    </xdr:from>
    <xdr:ext cx="5972176" cy="771525"/>
    <xdr:pic>
      <xdr:nvPicPr>
        <xdr:cNvPr id="5" name="Imagen 4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26025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609600</xdr:colOff>
      <xdr:row>139</xdr:row>
      <xdr:rowOff>0</xdr:rowOff>
    </xdr:from>
    <xdr:ext cx="5972176" cy="771525"/>
    <xdr:pic>
      <xdr:nvPicPr>
        <xdr:cNvPr id="7" name="Imagen 6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604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524054</xdr:colOff>
      <xdr:row>0</xdr:row>
      <xdr:rowOff>72277</xdr:rowOff>
    </xdr:from>
    <xdr:to>
      <xdr:col>5</xdr:col>
      <xdr:colOff>352424</xdr:colOff>
      <xdr:row>4</xdr:row>
      <xdr:rowOff>32152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054" y="72277"/>
          <a:ext cx="5229045" cy="7218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561974</xdr:colOff>
      <xdr:row>0</xdr:row>
      <xdr:rowOff>95250</xdr:rowOff>
    </xdr:from>
    <xdr:ext cx="5972176" cy="771525"/>
    <xdr:pic>
      <xdr:nvPicPr>
        <xdr:cNvPr id="2" name="Imagen 1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52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561974</xdr:colOff>
      <xdr:row>45</xdr:row>
      <xdr:rowOff>95250</xdr:rowOff>
    </xdr:from>
    <xdr:ext cx="5972176" cy="771525"/>
    <xdr:pic>
      <xdr:nvPicPr>
        <xdr:cNvPr id="3" name="Imagen 2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0106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561974</xdr:colOff>
      <xdr:row>0</xdr:row>
      <xdr:rowOff>95250</xdr:rowOff>
    </xdr:from>
    <xdr:ext cx="5972176" cy="771525"/>
    <xdr:pic>
      <xdr:nvPicPr>
        <xdr:cNvPr id="2" name="Imagen 1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52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561974</xdr:colOff>
      <xdr:row>45</xdr:row>
      <xdr:rowOff>95250</xdr:rowOff>
    </xdr:from>
    <xdr:ext cx="5972176" cy="771525"/>
    <xdr:pic>
      <xdr:nvPicPr>
        <xdr:cNvPr id="3" name="Imagen 2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0106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561974</xdr:colOff>
      <xdr:row>0</xdr:row>
      <xdr:rowOff>95250</xdr:rowOff>
    </xdr:from>
    <xdr:ext cx="5972176" cy="771525"/>
    <xdr:pic>
      <xdr:nvPicPr>
        <xdr:cNvPr id="2" name="Imagen 1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52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561974</xdr:colOff>
      <xdr:row>45</xdr:row>
      <xdr:rowOff>95250</xdr:rowOff>
    </xdr:from>
    <xdr:ext cx="5972176" cy="771525"/>
    <xdr:pic>
      <xdr:nvPicPr>
        <xdr:cNvPr id="3" name="Imagen 2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0106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561974</xdr:colOff>
      <xdr:row>0</xdr:row>
      <xdr:rowOff>95250</xdr:rowOff>
    </xdr:from>
    <xdr:ext cx="5972176" cy="771525"/>
    <xdr:pic>
      <xdr:nvPicPr>
        <xdr:cNvPr id="2" name="Imagen 1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52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561974</xdr:colOff>
      <xdr:row>45</xdr:row>
      <xdr:rowOff>95250</xdr:rowOff>
    </xdr:from>
    <xdr:ext cx="5972176" cy="771525"/>
    <xdr:pic>
      <xdr:nvPicPr>
        <xdr:cNvPr id="3" name="Imagen 2" descr="G:\ARTES DE AXONES\ANUNCIO LOGO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9010650"/>
          <a:ext cx="5972176" cy="7715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4:Q118"/>
  <sheetViews>
    <sheetView showGridLines="0" tabSelected="1" view="pageLayout" topLeftCell="A51" zoomScaleNormal="100" workbookViewId="0">
      <selection activeCell="A42" sqref="A42"/>
    </sheetView>
  </sheetViews>
  <sheetFormatPr baseColWidth="10" defaultRowHeight="15" x14ac:dyDescent="0.25"/>
  <cols>
    <col min="1" max="1" width="7.7109375" style="1" customWidth="1"/>
    <col min="2" max="2" width="7" style="1" customWidth="1"/>
    <col min="3" max="3" width="6.85546875" style="1" customWidth="1"/>
    <col min="4" max="5" width="8.140625" style="1" customWidth="1"/>
    <col min="6" max="6" width="7.42578125" style="1" customWidth="1"/>
    <col min="7" max="7" width="1.28515625" style="1" customWidth="1"/>
    <col min="8" max="8" width="8.85546875" style="1" customWidth="1"/>
    <col min="9" max="10" width="8.5703125" style="1" customWidth="1"/>
    <col min="11" max="11" width="8.42578125" style="1" customWidth="1"/>
    <col min="12" max="12" width="8.7109375" style="1" customWidth="1"/>
    <col min="13" max="13" width="8.28515625" style="1" customWidth="1"/>
    <col min="14" max="16" width="11.42578125" style="1"/>
    <col min="17" max="17" width="11.5703125" style="1" customWidth="1"/>
    <col min="18" max="16384" width="11.42578125" style="1"/>
  </cols>
  <sheetData>
    <row r="4" spans="1:13" ht="16.5" customHeight="1" x14ac:dyDescent="0.3">
      <c r="A4" s="217" t="s">
        <v>67</v>
      </c>
      <c r="B4" s="217"/>
      <c r="C4" s="217"/>
      <c r="D4" s="217"/>
      <c r="E4" s="217"/>
      <c r="F4" s="217"/>
      <c r="G4" s="217"/>
      <c r="H4" s="217"/>
      <c r="I4" s="217"/>
      <c r="J4" s="217"/>
      <c r="K4" s="144" t="s">
        <v>449</v>
      </c>
      <c r="L4" s="205">
        <v>46079</v>
      </c>
      <c r="M4" s="145"/>
    </row>
    <row r="5" spans="1:13" x14ac:dyDescent="0.25">
      <c r="A5" s="42" t="s">
        <v>0</v>
      </c>
      <c r="B5" s="42" t="s">
        <v>1</v>
      </c>
      <c r="C5" s="42" t="s">
        <v>70</v>
      </c>
      <c r="D5" s="43" t="s">
        <v>2</v>
      </c>
      <c r="E5" s="43" t="s">
        <v>293</v>
      </c>
      <c r="F5" s="43" t="s">
        <v>294</v>
      </c>
      <c r="G5" s="44"/>
      <c r="H5" s="42" t="s">
        <v>0</v>
      </c>
      <c r="I5" s="42" t="s">
        <v>1</v>
      </c>
      <c r="J5" s="42" t="s">
        <v>70</v>
      </c>
      <c r="K5" s="42" t="s">
        <v>2</v>
      </c>
      <c r="L5" s="42" t="s">
        <v>293</v>
      </c>
      <c r="M5" s="42" t="s">
        <v>294</v>
      </c>
    </row>
    <row r="6" spans="1:13" ht="15.75" customHeight="1" x14ac:dyDescent="0.25">
      <c r="A6" s="206" t="s">
        <v>66</v>
      </c>
      <c r="B6" s="46">
        <v>15</v>
      </c>
      <c r="C6" s="180">
        <v>700</v>
      </c>
      <c r="D6" s="47">
        <v>73</v>
      </c>
      <c r="E6" s="70" t="s">
        <v>322</v>
      </c>
      <c r="F6" s="70"/>
      <c r="G6" s="44"/>
      <c r="H6" s="228" t="s">
        <v>4</v>
      </c>
      <c r="I6" s="225">
        <v>20</v>
      </c>
      <c r="J6" s="48">
        <v>470</v>
      </c>
      <c r="K6" s="49">
        <v>54</v>
      </c>
      <c r="L6" s="72" t="s">
        <v>384</v>
      </c>
      <c r="M6" s="72"/>
    </row>
    <row r="7" spans="1:13" ht="15" customHeight="1" x14ac:dyDescent="0.25">
      <c r="A7" s="207"/>
      <c r="B7" s="215">
        <v>17</v>
      </c>
      <c r="C7" s="180">
        <v>620</v>
      </c>
      <c r="D7" s="47">
        <v>283.2</v>
      </c>
      <c r="E7" s="70" t="s">
        <v>323</v>
      </c>
      <c r="F7" s="70"/>
      <c r="G7" s="44"/>
      <c r="H7" s="229"/>
      <c r="I7" s="226"/>
      <c r="J7" s="48">
        <v>590</v>
      </c>
      <c r="K7" s="49">
        <v>0</v>
      </c>
      <c r="L7" s="72" t="s">
        <v>341</v>
      </c>
      <c r="M7" s="72"/>
    </row>
    <row r="8" spans="1:13" ht="14.25" customHeight="1" x14ac:dyDescent="0.25">
      <c r="A8" s="207"/>
      <c r="B8" s="216"/>
      <c r="C8" s="180">
        <v>710</v>
      </c>
      <c r="D8" s="47">
        <v>46</v>
      </c>
      <c r="E8" s="70" t="s">
        <v>324</v>
      </c>
      <c r="F8" s="70"/>
      <c r="G8" s="51"/>
      <c r="H8" s="229"/>
      <c r="I8" s="226"/>
      <c r="J8" s="48">
        <v>630</v>
      </c>
      <c r="K8" s="49">
        <v>0</v>
      </c>
      <c r="L8" s="72" t="s">
        <v>431</v>
      </c>
      <c r="M8" s="72"/>
    </row>
    <row r="9" spans="1:13" ht="15" customHeight="1" x14ac:dyDescent="0.25">
      <c r="A9" s="207"/>
      <c r="B9" s="215">
        <v>20</v>
      </c>
      <c r="C9" s="180">
        <v>610</v>
      </c>
      <c r="D9" s="47">
        <v>2215.02</v>
      </c>
      <c r="E9" s="70" t="s">
        <v>504</v>
      </c>
      <c r="F9" s="70"/>
      <c r="G9" s="44"/>
      <c r="H9" s="229"/>
      <c r="I9" s="226"/>
      <c r="J9" s="48">
        <v>640</v>
      </c>
      <c r="K9" s="49">
        <v>0</v>
      </c>
      <c r="L9" s="72" t="s">
        <v>446</v>
      </c>
      <c r="M9" s="72"/>
    </row>
    <row r="10" spans="1:13" ht="15" customHeight="1" x14ac:dyDescent="0.25">
      <c r="A10" s="207"/>
      <c r="B10" s="224"/>
      <c r="C10" s="180">
        <v>630</v>
      </c>
      <c r="D10" s="47">
        <v>0</v>
      </c>
      <c r="E10" s="70" t="s">
        <v>339</v>
      </c>
      <c r="F10" s="70"/>
      <c r="G10" s="44"/>
      <c r="H10" s="229"/>
      <c r="I10" s="226"/>
      <c r="J10" s="48">
        <v>680</v>
      </c>
      <c r="K10" s="49">
        <v>0</v>
      </c>
      <c r="L10" s="72" t="s">
        <v>454</v>
      </c>
      <c r="M10" s="72"/>
    </row>
    <row r="11" spans="1:13" ht="15" customHeight="1" x14ac:dyDescent="0.25">
      <c r="A11" s="207"/>
      <c r="B11" s="224"/>
      <c r="C11" s="180">
        <v>740</v>
      </c>
      <c r="D11" s="47">
        <v>0</v>
      </c>
      <c r="E11" s="86" t="s">
        <v>424</v>
      </c>
      <c r="F11" s="70"/>
      <c r="G11" s="44"/>
      <c r="H11" s="229"/>
      <c r="I11" s="226"/>
      <c r="J11" s="48">
        <v>690</v>
      </c>
      <c r="K11" s="49">
        <v>0</v>
      </c>
      <c r="L11" s="72"/>
      <c r="M11" s="72"/>
    </row>
    <row r="12" spans="1:13" ht="15" customHeight="1" x14ac:dyDescent="0.25">
      <c r="A12" s="207"/>
      <c r="B12" s="224"/>
      <c r="C12" s="180">
        <v>780</v>
      </c>
      <c r="D12" s="47">
        <v>0</v>
      </c>
      <c r="E12" s="70" t="s">
        <v>436</v>
      </c>
      <c r="F12" s="70"/>
      <c r="G12" s="51"/>
      <c r="H12" s="229"/>
      <c r="I12" s="226"/>
      <c r="J12" s="190">
        <v>700</v>
      </c>
      <c r="K12" s="49">
        <v>499.56</v>
      </c>
      <c r="L12" s="72" t="s">
        <v>334</v>
      </c>
      <c r="M12" s="191" t="s">
        <v>483</v>
      </c>
    </row>
    <row r="13" spans="1:13" ht="15" customHeight="1" x14ac:dyDescent="0.25">
      <c r="A13" s="207"/>
      <c r="B13" s="216"/>
      <c r="C13" s="180">
        <v>800</v>
      </c>
      <c r="D13" s="47">
        <v>0</v>
      </c>
      <c r="E13" s="70" t="s">
        <v>325</v>
      </c>
      <c r="F13" s="70"/>
      <c r="G13" s="44"/>
      <c r="H13" s="229"/>
      <c r="I13" s="226"/>
      <c r="J13" s="48">
        <v>740</v>
      </c>
      <c r="K13" s="49">
        <v>0</v>
      </c>
      <c r="L13" s="72" t="s">
        <v>338</v>
      </c>
      <c r="M13" s="72"/>
    </row>
    <row r="14" spans="1:13" ht="15" customHeight="1" x14ac:dyDescent="0.25">
      <c r="A14" s="207"/>
      <c r="B14" s="231">
        <v>25</v>
      </c>
      <c r="C14" s="180">
        <v>460</v>
      </c>
      <c r="D14" s="47">
        <v>0</v>
      </c>
      <c r="E14" s="70" t="s">
        <v>358</v>
      </c>
      <c r="F14" s="70"/>
      <c r="G14" s="44"/>
      <c r="H14" s="229"/>
      <c r="I14" s="226"/>
      <c r="J14" s="48">
        <v>755</v>
      </c>
      <c r="K14" s="49">
        <v>0</v>
      </c>
      <c r="L14" s="72" t="s">
        <v>432</v>
      </c>
      <c r="M14" s="72"/>
    </row>
    <row r="15" spans="1:13" ht="15" customHeight="1" x14ac:dyDescent="0.25">
      <c r="A15" s="207"/>
      <c r="B15" s="232"/>
      <c r="C15" s="180">
        <v>490</v>
      </c>
      <c r="D15" s="47">
        <v>538.1</v>
      </c>
      <c r="E15" s="70"/>
      <c r="F15" s="70"/>
      <c r="G15" s="44"/>
      <c r="H15" s="229"/>
      <c r="I15" s="226"/>
      <c r="J15" s="48">
        <v>760</v>
      </c>
      <c r="K15" s="49">
        <v>0</v>
      </c>
      <c r="L15" s="72"/>
      <c r="M15" s="72"/>
    </row>
    <row r="16" spans="1:13" ht="15" customHeight="1" x14ac:dyDescent="0.25">
      <c r="A16" s="207"/>
      <c r="B16" s="232"/>
      <c r="C16" s="190">
        <v>560</v>
      </c>
      <c r="D16" s="47">
        <v>9648.67</v>
      </c>
      <c r="E16" s="70" t="s">
        <v>326</v>
      </c>
      <c r="F16" s="161" t="s">
        <v>483</v>
      </c>
      <c r="G16" s="44"/>
      <c r="H16" s="229"/>
      <c r="I16" s="227"/>
      <c r="J16" s="190">
        <v>815</v>
      </c>
      <c r="K16" s="49">
        <v>1826.52</v>
      </c>
      <c r="L16" s="72" t="s">
        <v>335</v>
      </c>
      <c r="M16" s="191" t="s">
        <v>483</v>
      </c>
    </row>
    <row r="17" spans="1:17" ht="15" customHeight="1" x14ac:dyDescent="0.25">
      <c r="A17" s="207"/>
      <c r="B17" s="232"/>
      <c r="C17" s="180">
        <v>580</v>
      </c>
      <c r="D17" s="47">
        <v>0</v>
      </c>
      <c r="E17" s="70" t="s">
        <v>326</v>
      </c>
      <c r="F17" s="70"/>
      <c r="G17" s="44"/>
      <c r="H17" s="229"/>
      <c r="I17" s="225">
        <v>25</v>
      </c>
      <c r="J17" s="48">
        <v>580</v>
      </c>
      <c r="K17" s="49">
        <v>0</v>
      </c>
      <c r="L17" s="72" t="s">
        <v>516</v>
      </c>
      <c r="M17" s="72"/>
    </row>
    <row r="18" spans="1:17" ht="13.5" customHeight="1" x14ac:dyDescent="0.25">
      <c r="A18" s="207"/>
      <c r="B18" s="232"/>
      <c r="C18" s="180">
        <v>620</v>
      </c>
      <c r="D18" s="47">
        <v>0</v>
      </c>
      <c r="E18" s="70" t="s">
        <v>425</v>
      </c>
      <c r="F18" s="70"/>
      <c r="G18" s="51"/>
      <c r="H18" s="229"/>
      <c r="I18" s="226"/>
      <c r="J18" s="48">
        <v>740</v>
      </c>
      <c r="K18" s="49">
        <v>0</v>
      </c>
      <c r="L18" s="72" t="s">
        <v>523</v>
      </c>
      <c r="M18" s="72"/>
    </row>
    <row r="19" spans="1:17" ht="15" customHeight="1" x14ac:dyDescent="0.25">
      <c r="A19" s="207"/>
      <c r="B19" s="232"/>
      <c r="C19" s="180">
        <v>635</v>
      </c>
      <c r="D19" s="47">
        <v>134.4</v>
      </c>
      <c r="E19" s="70" t="s">
        <v>426</v>
      </c>
      <c r="F19" s="70"/>
      <c r="G19" s="44"/>
      <c r="H19" s="230"/>
      <c r="I19" s="227"/>
      <c r="J19" s="48">
        <v>800</v>
      </c>
      <c r="K19" s="49">
        <v>0</v>
      </c>
      <c r="L19" s="72"/>
      <c r="M19" s="72"/>
    </row>
    <row r="20" spans="1:17" ht="15" customHeight="1" x14ac:dyDescent="0.25">
      <c r="A20" s="207"/>
      <c r="B20" s="232"/>
      <c r="C20" s="180">
        <v>640</v>
      </c>
      <c r="D20" s="47">
        <v>379.7</v>
      </c>
      <c r="E20" s="70"/>
      <c r="F20" s="89"/>
      <c r="G20" s="51"/>
      <c r="H20" s="181"/>
      <c r="I20" s="132"/>
      <c r="J20" s="130"/>
      <c r="K20" s="133"/>
      <c r="L20" s="133"/>
      <c r="M20" s="133"/>
      <c r="Q20" s="1" t="s">
        <v>525</v>
      </c>
    </row>
    <row r="21" spans="1:17" ht="14.25" customHeight="1" x14ac:dyDescent="0.25">
      <c r="A21" s="207"/>
      <c r="B21" s="232"/>
      <c r="C21" s="180">
        <v>660</v>
      </c>
      <c r="D21" s="47">
        <v>62</v>
      </c>
      <c r="E21" s="70" t="s">
        <v>428</v>
      </c>
      <c r="F21" s="89"/>
      <c r="G21" s="51"/>
      <c r="H21" s="42" t="s">
        <v>0</v>
      </c>
      <c r="I21" s="42" t="s">
        <v>1</v>
      </c>
      <c r="J21" s="42" t="s">
        <v>70</v>
      </c>
      <c r="K21" s="42" t="s">
        <v>2</v>
      </c>
      <c r="L21" s="42" t="s">
        <v>293</v>
      </c>
      <c r="M21" s="42" t="s">
        <v>294</v>
      </c>
    </row>
    <row r="22" spans="1:17" ht="15" customHeight="1" x14ac:dyDescent="0.25">
      <c r="A22" s="207"/>
      <c r="B22" s="232"/>
      <c r="C22" s="180">
        <v>670</v>
      </c>
      <c r="D22" s="53">
        <v>273.39999999999998</v>
      </c>
      <c r="E22" s="85"/>
      <c r="F22" s="89"/>
      <c r="G22" s="44"/>
      <c r="H22" s="209" t="s">
        <v>5</v>
      </c>
      <c r="I22" s="129">
        <v>17</v>
      </c>
      <c r="J22" s="61">
        <v>620</v>
      </c>
      <c r="K22" s="55">
        <v>498</v>
      </c>
      <c r="L22" s="74"/>
      <c r="M22" s="74"/>
    </row>
    <row r="23" spans="1:17" ht="15" customHeight="1" x14ac:dyDescent="0.25">
      <c r="A23" s="207"/>
      <c r="B23" s="232"/>
      <c r="C23" s="180">
        <v>680</v>
      </c>
      <c r="D23" s="47">
        <v>858</v>
      </c>
      <c r="E23" s="103" t="s">
        <v>327</v>
      </c>
      <c r="F23" s="103"/>
      <c r="G23" s="44"/>
      <c r="H23" s="210"/>
      <c r="I23" s="212">
        <v>20</v>
      </c>
      <c r="J23" s="61">
        <v>460</v>
      </c>
      <c r="K23" s="55">
        <v>0</v>
      </c>
      <c r="L23" s="74" t="s">
        <v>503</v>
      </c>
      <c r="M23" s="74"/>
    </row>
    <row r="24" spans="1:17" ht="14.25" customHeight="1" x14ac:dyDescent="0.25">
      <c r="A24" s="207"/>
      <c r="B24" s="232"/>
      <c r="C24" s="190">
        <v>680</v>
      </c>
      <c r="D24" s="47">
        <v>2843.42</v>
      </c>
      <c r="E24" s="103"/>
      <c r="F24" s="161" t="s">
        <v>483</v>
      </c>
      <c r="G24" s="51"/>
      <c r="H24" s="210"/>
      <c r="I24" s="213"/>
      <c r="J24" s="61">
        <v>610</v>
      </c>
      <c r="K24" s="55">
        <v>1593.4</v>
      </c>
      <c r="L24" s="74" t="s">
        <v>504</v>
      </c>
      <c r="M24" s="74"/>
    </row>
    <row r="25" spans="1:17" ht="15" customHeight="1" x14ac:dyDescent="0.25">
      <c r="A25" s="207"/>
      <c r="B25" s="232"/>
      <c r="C25" s="180">
        <v>740</v>
      </c>
      <c r="D25" s="47">
        <v>206.67</v>
      </c>
      <c r="E25" s="70" t="s">
        <v>437</v>
      </c>
      <c r="F25" s="70"/>
      <c r="G25" s="44"/>
      <c r="H25" s="210"/>
      <c r="I25" s="213"/>
      <c r="J25" s="61">
        <v>620</v>
      </c>
      <c r="K25" s="150">
        <v>250.6</v>
      </c>
      <c r="L25" s="151"/>
      <c r="M25" s="151"/>
    </row>
    <row r="26" spans="1:17" ht="15" customHeight="1" x14ac:dyDescent="0.25">
      <c r="A26" s="207"/>
      <c r="B26" s="232"/>
      <c r="C26" s="180">
        <v>760</v>
      </c>
      <c r="D26" s="47">
        <v>5249.76</v>
      </c>
      <c r="E26" s="70" t="s">
        <v>510</v>
      </c>
      <c r="F26" s="70"/>
      <c r="G26" s="51"/>
      <c r="H26" s="210"/>
      <c r="I26" s="213"/>
      <c r="J26" s="61">
        <v>630</v>
      </c>
      <c r="K26" s="55">
        <v>0</v>
      </c>
      <c r="L26" s="74" t="s">
        <v>339</v>
      </c>
      <c r="M26" s="74"/>
    </row>
    <row r="27" spans="1:17" ht="15" customHeight="1" x14ac:dyDescent="0.25">
      <c r="A27" s="207"/>
      <c r="B27" s="232"/>
      <c r="C27" s="180">
        <v>770</v>
      </c>
      <c r="D27" s="47">
        <v>0</v>
      </c>
      <c r="E27" s="86" t="s">
        <v>330</v>
      </c>
      <c r="F27" s="70"/>
      <c r="G27" s="51"/>
      <c r="H27" s="210"/>
      <c r="I27" s="213"/>
      <c r="J27" s="61">
        <v>635</v>
      </c>
      <c r="K27" s="63">
        <v>0</v>
      </c>
      <c r="L27" s="87" t="s">
        <v>426</v>
      </c>
      <c r="M27" s="74"/>
      <c r="N27" s="4"/>
    </row>
    <row r="28" spans="1:17" ht="14.25" customHeight="1" x14ac:dyDescent="0.25">
      <c r="A28" s="207"/>
      <c r="B28" s="232"/>
      <c r="C28" s="180">
        <v>780</v>
      </c>
      <c r="D28" s="47">
        <v>0</v>
      </c>
      <c r="E28" s="70" t="s">
        <v>429</v>
      </c>
      <c r="F28" s="70"/>
      <c r="G28" s="51"/>
      <c r="H28" s="210"/>
      <c r="I28" s="213"/>
      <c r="J28" s="61">
        <v>660</v>
      </c>
      <c r="K28" s="55">
        <v>0</v>
      </c>
      <c r="L28" s="74" t="s">
        <v>505</v>
      </c>
      <c r="M28" s="74"/>
    </row>
    <row r="29" spans="1:17" ht="15" customHeight="1" x14ac:dyDescent="0.25">
      <c r="A29" s="207"/>
      <c r="B29" s="232"/>
      <c r="C29" s="180">
        <v>815</v>
      </c>
      <c r="D29" s="47">
        <v>0</v>
      </c>
      <c r="E29" s="70" t="s">
        <v>331</v>
      </c>
      <c r="F29" s="70"/>
      <c r="G29" s="51"/>
      <c r="H29" s="210"/>
      <c r="I29" s="213"/>
      <c r="J29" s="61">
        <v>680</v>
      </c>
      <c r="K29" s="55">
        <v>0</v>
      </c>
      <c r="L29" s="74" t="s">
        <v>337</v>
      </c>
      <c r="M29" s="74"/>
    </row>
    <row r="30" spans="1:17" ht="15" customHeight="1" x14ac:dyDescent="0.25">
      <c r="A30" s="207"/>
      <c r="B30" s="233"/>
      <c r="C30" s="180">
        <v>1120</v>
      </c>
      <c r="D30" s="47">
        <v>0</v>
      </c>
      <c r="E30" s="70" t="s">
        <v>332</v>
      </c>
      <c r="F30" s="70"/>
      <c r="G30" s="44"/>
      <c r="H30" s="210"/>
      <c r="I30" s="213"/>
      <c r="J30" s="61">
        <v>700</v>
      </c>
      <c r="K30" s="55">
        <v>0</v>
      </c>
      <c r="L30" s="74" t="s">
        <v>447</v>
      </c>
      <c r="M30" s="74"/>
    </row>
    <row r="31" spans="1:17" ht="15" customHeight="1" x14ac:dyDescent="0.25">
      <c r="A31" s="207"/>
      <c r="B31" s="215">
        <v>30</v>
      </c>
      <c r="C31" s="180">
        <v>440</v>
      </c>
      <c r="D31" s="47">
        <v>0</v>
      </c>
      <c r="E31" s="70" t="s">
        <v>333</v>
      </c>
      <c r="F31" s="70"/>
      <c r="G31" s="51"/>
      <c r="H31" s="210"/>
      <c r="I31" s="213"/>
      <c r="J31" s="61">
        <v>720</v>
      </c>
      <c r="K31" s="55">
        <v>1634</v>
      </c>
      <c r="L31" s="74"/>
      <c r="M31" s="74"/>
    </row>
    <row r="32" spans="1:17" ht="15" customHeight="1" x14ac:dyDescent="0.25">
      <c r="A32" s="207"/>
      <c r="B32" s="224"/>
      <c r="C32" s="180">
        <v>450</v>
      </c>
      <c r="D32" s="47">
        <v>0</v>
      </c>
      <c r="E32" s="70"/>
      <c r="F32" s="70"/>
      <c r="G32" s="51"/>
      <c r="H32" s="210"/>
      <c r="I32" s="213"/>
      <c r="J32" s="61">
        <v>740</v>
      </c>
      <c r="K32" s="55">
        <v>1343.89</v>
      </c>
      <c r="L32" s="74" t="s">
        <v>435</v>
      </c>
      <c r="M32" s="74"/>
    </row>
    <row r="33" spans="1:14" ht="15" customHeight="1" x14ac:dyDescent="0.25">
      <c r="A33" s="207"/>
      <c r="B33" s="224"/>
      <c r="C33" s="180">
        <v>460</v>
      </c>
      <c r="D33" s="47">
        <v>0</v>
      </c>
      <c r="E33" s="70" t="s">
        <v>358</v>
      </c>
      <c r="F33" s="70"/>
      <c r="G33" s="51"/>
      <c r="H33" s="210"/>
      <c r="I33" s="213"/>
      <c r="J33" s="61">
        <v>760</v>
      </c>
      <c r="K33" s="55">
        <v>0</v>
      </c>
      <c r="L33" s="74" t="s">
        <v>512</v>
      </c>
      <c r="M33" s="74"/>
    </row>
    <row r="34" spans="1:14" ht="15" customHeight="1" x14ac:dyDescent="0.25">
      <c r="A34" s="207"/>
      <c r="B34" s="224"/>
      <c r="C34" s="180">
        <v>620</v>
      </c>
      <c r="D34" s="47">
        <v>136.80000000000001</v>
      </c>
      <c r="E34" s="70"/>
      <c r="F34" s="70"/>
      <c r="G34" s="51"/>
      <c r="H34" s="210"/>
      <c r="I34" s="213"/>
      <c r="J34" s="61">
        <v>770</v>
      </c>
      <c r="K34" s="55">
        <v>0</v>
      </c>
      <c r="L34" s="74" t="s">
        <v>511</v>
      </c>
      <c r="M34" s="74"/>
    </row>
    <row r="35" spans="1:14" ht="15" customHeight="1" x14ac:dyDescent="0.25">
      <c r="A35" s="207"/>
      <c r="B35" s="224"/>
      <c r="C35" s="180">
        <v>700</v>
      </c>
      <c r="D35" s="47">
        <v>0</v>
      </c>
      <c r="E35" s="70" t="s">
        <v>334</v>
      </c>
      <c r="F35" s="70"/>
      <c r="G35" s="51"/>
      <c r="H35" s="210"/>
      <c r="I35" s="213"/>
      <c r="J35" s="61">
        <v>780</v>
      </c>
      <c r="K35" s="55">
        <v>274.52</v>
      </c>
      <c r="L35" s="74" t="s">
        <v>340</v>
      </c>
      <c r="M35" s="74"/>
    </row>
    <row r="36" spans="1:14" ht="15" customHeight="1" x14ac:dyDescent="0.25">
      <c r="A36" s="207"/>
      <c r="B36" s="224"/>
      <c r="C36" s="180">
        <v>720</v>
      </c>
      <c r="D36" s="47">
        <v>365.78</v>
      </c>
      <c r="E36" s="70"/>
      <c r="F36" s="70"/>
      <c r="G36" s="51"/>
      <c r="H36" s="210"/>
      <c r="I36" s="213"/>
      <c r="J36" s="61">
        <v>800</v>
      </c>
      <c r="K36" s="63">
        <v>403.68</v>
      </c>
      <c r="L36" s="87" t="s">
        <v>506</v>
      </c>
      <c r="M36" s="74"/>
    </row>
    <row r="37" spans="1:14" ht="15" customHeight="1" x14ac:dyDescent="0.25">
      <c r="A37" s="207"/>
      <c r="B37" s="224"/>
      <c r="C37" s="158">
        <v>740</v>
      </c>
      <c r="D37" s="53">
        <v>4596.3</v>
      </c>
      <c r="E37" s="85" t="s">
        <v>430</v>
      </c>
      <c r="F37" s="161" t="s">
        <v>483</v>
      </c>
      <c r="G37" s="51"/>
      <c r="H37" s="210"/>
      <c r="I37" s="214"/>
      <c r="J37" s="61">
        <v>815</v>
      </c>
      <c r="K37" s="55">
        <v>0</v>
      </c>
      <c r="L37" s="74" t="s">
        <v>331</v>
      </c>
      <c r="M37" s="74"/>
    </row>
    <row r="38" spans="1:14" ht="13.5" customHeight="1" x14ac:dyDescent="0.25">
      <c r="A38" s="207"/>
      <c r="B38" s="224"/>
      <c r="C38" s="180">
        <v>760</v>
      </c>
      <c r="D38" s="47">
        <v>0</v>
      </c>
      <c r="E38" s="70" t="s">
        <v>509</v>
      </c>
      <c r="F38" s="70"/>
      <c r="G38" s="51"/>
      <c r="H38" s="210"/>
      <c r="I38" s="172">
        <v>25</v>
      </c>
      <c r="J38" s="61">
        <v>740</v>
      </c>
      <c r="K38" s="55">
        <v>21</v>
      </c>
      <c r="L38" s="74"/>
      <c r="M38" s="74"/>
    </row>
    <row r="39" spans="1:14" ht="14.25" customHeight="1" x14ac:dyDescent="0.25">
      <c r="A39" s="207"/>
      <c r="B39" s="224"/>
      <c r="C39" s="190">
        <v>760</v>
      </c>
      <c r="D39" s="47">
        <v>2348.6</v>
      </c>
      <c r="E39" s="70"/>
      <c r="F39" s="161" t="s">
        <v>483</v>
      </c>
      <c r="G39" s="51"/>
      <c r="H39" s="210"/>
      <c r="I39" s="212">
        <v>30</v>
      </c>
      <c r="J39" s="61">
        <v>460</v>
      </c>
      <c r="K39" s="55">
        <v>340.32</v>
      </c>
      <c r="L39" s="74"/>
      <c r="M39" s="74"/>
    </row>
    <row r="40" spans="1:14" ht="14.25" customHeight="1" x14ac:dyDescent="0.25">
      <c r="A40" s="207"/>
      <c r="B40" s="224"/>
      <c r="C40" s="180">
        <v>770</v>
      </c>
      <c r="D40" s="47">
        <v>0</v>
      </c>
      <c r="E40" s="70" t="s">
        <v>358</v>
      </c>
      <c r="F40" s="70"/>
      <c r="G40" s="44"/>
      <c r="H40" s="210"/>
      <c r="I40" s="213"/>
      <c r="J40" s="61">
        <v>510</v>
      </c>
      <c r="K40" s="55">
        <v>17</v>
      </c>
      <c r="L40" s="74"/>
      <c r="M40" s="74"/>
      <c r="N40" s="162"/>
    </row>
    <row r="41" spans="1:14" ht="13.5" customHeight="1" x14ac:dyDescent="0.25">
      <c r="A41" s="207"/>
      <c r="B41" s="224"/>
      <c r="C41" s="180">
        <v>800</v>
      </c>
      <c r="D41" s="47">
        <v>0</v>
      </c>
      <c r="E41" s="70" t="s">
        <v>508</v>
      </c>
      <c r="F41" s="70"/>
      <c r="G41" s="44"/>
      <c r="H41" s="210"/>
      <c r="I41" s="213"/>
      <c r="J41" s="61">
        <v>590</v>
      </c>
      <c r="K41" s="55">
        <v>221.74</v>
      </c>
      <c r="L41" s="74" t="s">
        <v>341</v>
      </c>
      <c r="M41" s="74" t="s">
        <v>516</v>
      </c>
      <c r="N41" s="162"/>
    </row>
    <row r="42" spans="1:14" ht="13.5" customHeight="1" x14ac:dyDescent="0.25">
      <c r="A42" s="207"/>
      <c r="B42" s="224"/>
      <c r="C42" s="180">
        <v>815</v>
      </c>
      <c r="D42" s="47">
        <v>0</v>
      </c>
      <c r="E42" s="70" t="s">
        <v>335</v>
      </c>
      <c r="F42" s="160"/>
      <c r="G42" s="51"/>
      <c r="H42" s="210"/>
      <c r="I42" s="213"/>
      <c r="J42" s="61">
        <v>640</v>
      </c>
      <c r="K42" s="55">
        <v>0</v>
      </c>
      <c r="L42" s="74" t="s">
        <v>446</v>
      </c>
      <c r="M42" s="74"/>
      <c r="N42" s="162"/>
    </row>
    <row r="43" spans="1:14" ht="15" customHeight="1" x14ac:dyDescent="0.25">
      <c r="A43" s="207"/>
      <c r="B43" s="224"/>
      <c r="C43" s="180">
        <v>870</v>
      </c>
      <c r="D43" s="47">
        <v>0</v>
      </c>
      <c r="E43" s="128" t="s">
        <v>507</v>
      </c>
      <c r="F43" s="128"/>
      <c r="G43" s="51"/>
      <c r="H43" s="210"/>
      <c r="I43" s="213"/>
      <c r="J43" s="157">
        <v>700</v>
      </c>
      <c r="K43" s="55">
        <v>1187.76</v>
      </c>
      <c r="L43" s="74" t="s">
        <v>438</v>
      </c>
      <c r="M43" s="195" t="s">
        <v>483</v>
      </c>
      <c r="N43" s="162"/>
    </row>
    <row r="44" spans="1:14" ht="15" customHeight="1" x14ac:dyDescent="0.25">
      <c r="A44" s="207"/>
      <c r="B44" s="216"/>
      <c r="C44" s="190">
        <v>870</v>
      </c>
      <c r="D44" s="47">
        <v>7767.86</v>
      </c>
      <c r="E44" s="128"/>
      <c r="F44" s="160" t="s">
        <v>483</v>
      </c>
      <c r="G44" s="51"/>
      <c r="H44" s="210"/>
      <c r="I44" s="213"/>
      <c r="J44" s="61">
        <v>755</v>
      </c>
      <c r="K44" s="55">
        <v>0</v>
      </c>
      <c r="L44" s="74" t="s">
        <v>432</v>
      </c>
      <c r="M44" s="74"/>
      <c r="N44" s="183"/>
    </row>
    <row r="45" spans="1:14" ht="15" customHeight="1" x14ac:dyDescent="0.25">
      <c r="A45" s="207"/>
      <c r="B45" s="215">
        <v>35</v>
      </c>
      <c r="C45" s="180">
        <v>700</v>
      </c>
      <c r="D45" s="47">
        <v>889.2</v>
      </c>
      <c r="E45" s="128"/>
      <c r="F45" s="160"/>
      <c r="G45" s="51"/>
      <c r="H45" s="210"/>
      <c r="I45" s="213"/>
      <c r="J45" s="61">
        <v>815</v>
      </c>
      <c r="K45" s="55">
        <v>1412.56</v>
      </c>
      <c r="L45" s="74" t="s">
        <v>342</v>
      </c>
      <c r="M45" s="74"/>
      <c r="N45" s="162"/>
    </row>
    <row r="46" spans="1:14" ht="15" customHeight="1" x14ac:dyDescent="0.25">
      <c r="A46" s="207"/>
      <c r="B46" s="216"/>
      <c r="C46" s="157">
        <v>700</v>
      </c>
      <c r="D46" s="47">
        <v>1487.98</v>
      </c>
      <c r="E46" s="70" t="s">
        <v>433</v>
      </c>
      <c r="F46" s="160" t="s">
        <v>483</v>
      </c>
      <c r="G46" s="51"/>
      <c r="H46" s="211"/>
      <c r="I46" s="214"/>
      <c r="J46" s="157">
        <v>815</v>
      </c>
      <c r="K46" s="55">
        <v>3899.02</v>
      </c>
      <c r="L46" s="74"/>
      <c r="M46" s="195" t="s">
        <v>483</v>
      </c>
      <c r="N46" s="162"/>
    </row>
    <row r="47" spans="1:14" ht="15" customHeight="1" x14ac:dyDescent="0.25">
      <c r="A47" s="208"/>
      <c r="B47" s="46">
        <v>40</v>
      </c>
      <c r="C47" s="180">
        <v>1000</v>
      </c>
      <c r="D47" s="47">
        <v>556</v>
      </c>
      <c r="E47" s="70"/>
      <c r="F47" s="70"/>
      <c r="G47" s="51"/>
      <c r="H47" s="181"/>
      <c r="I47" s="132"/>
      <c r="J47" s="130"/>
      <c r="K47" s="133"/>
      <c r="L47" s="133"/>
      <c r="M47" s="185"/>
      <c r="N47" s="162"/>
    </row>
    <row r="48" spans="1:14" ht="15" customHeight="1" x14ac:dyDescent="0.25">
      <c r="A48" s="182"/>
      <c r="B48" s="125"/>
      <c r="C48" s="125"/>
      <c r="D48" s="125"/>
      <c r="E48" s="125"/>
      <c r="F48" s="125"/>
      <c r="G48" s="51"/>
      <c r="H48" s="42" t="s">
        <v>0</v>
      </c>
      <c r="I48" s="42" t="s">
        <v>1</v>
      </c>
      <c r="J48" s="42" t="s">
        <v>70</v>
      </c>
      <c r="K48" s="42" t="s">
        <v>2</v>
      </c>
      <c r="L48" s="42" t="s">
        <v>293</v>
      </c>
      <c r="M48" s="42" t="s">
        <v>294</v>
      </c>
      <c r="N48" s="184"/>
    </row>
    <row r="49" spans="1:14" ht="15" customHeight="1" x14ac:dyDescent="0.25">
      <c r="A49" s="42" t="s">
        <v>0</v>
      </c>
      <c r="B49" s="42" t="s">
        <v>1</v>
      </c>
      <c r="C49" s="42" t="s">
        <v>70</v>
      </c>
      <c r="D49" s="42" t="s">
        <v>2</v>
      </c>
      <c r="E49" s="42" t="s">
        <v>293</v>
      </c>
      <c r="F49" s="42" t="s">
        <v>294</v>
      </c>
      <c r="G49" s="50"/>
      <c r="H49" s="221" t="s">
        <v>296</v>
      </c>
      <c r="I49" s="59">
        <v>25</v>
      </c>
      <c r="J49" s="186">
        <v>740</v>
      </c>
      <c r="K49" s="68">
        <v>170</v>
      </c>
      <c r="L49" s="68" t="s">
        <v>328</v>
      </c>
      <c r="M49" s="68"/>
      <c r="N49" s="184"/>
    </row>
    <row r="50" spans="1:14" ht="15" customHeight="1" x14ac:dyDescent="0.25">
      <c r="A50" s="234" t="s">
        <v>286</v>
      </c>
      <c r="B50" s="236">
        <v>30</v>
      </c>
      <c r="C50" s="186">
        <v>740</v>
      </c>
      <c r="D50" s="68">
        <v>602.77</v>
      </c>
      <c r="E50" s="68" t="s">
        <v>343</v>
      </c>
      <c r="F50" s="68"/>
      <c r="G50" s="51"/>
      <c r="H50" s="222"/>
      <c r="I50" s="218">
        <v>35</v>
      </c>
      <c r="J50" s="186">
        <v>450</v>
      </c>
      <c r="K50" s="68">
        <v>1179</v>
      </c>
      <c r="L50" s="68" t="s">
        <v>443</v>
      </c>
      <c r="M50" s="68"/>
      <c r="N50" s="12"/>
    </row>
    <row r="51" spans="1:14" ht="13.5" customHeight="1" x14ac:dyDescent="0.25">
      <c r="A51" s="235"/>
      <c r="B51" s="237"/>
      <c r="C51" s="186">
        <v>900</v>
      </c>
      <c r="D51" s="68">
        <v>98</v>
      </c>
      <c r="E51" s="68"/>
      <c r="F51" s="68"/>
      <c r="G51" s="44"/>
      <c r="H51" s="222"/>
      <c r="I51" s="219"/>
      <c r="J51" s="186">
        <v>670</v>
      </c>
      <c r="K51" s="68">
        <v>1569.5</v>
      </c>
      <c r="L51" s="68" t="s">
        <v>427</v>
      </c>
      <c r="M51" s="68"/>
      <c r="N51" s="12"/>
    </row>
    <row r="52" spans="1:14" ht="12.75" customHeight="1" x14ac:dyDescent="0.25">
      <c r="A52" s="125"/>
      <c r="B52" s="125"/>
      <c r="C52" s="125"/>
      <c r="D52" s="125"/>
      <c r="E52" s="125"/>
      <c r="F52" s="125"/>
      <c r="G52" s="44"/>
      <c r="H52" s="222"/>
      <c r="I52" s="220"/>
      <c r="J52" s="186">
        <v>740</v>
      </c>
      <c r="K52" s="68">
        <v>665</v>
      </c>
      <c r="L52" s="68"/>
      <c r="M52" s="68"/>
      <c r="N52" s="12"/>
    </row>
    <row r="53" spans="1:14" ht="15" customHeight="1" x14ac:dyDescent="0.25">
      <c r="A53" s="125"/>
      <c r="B53" s="125"/>
      <c r="C53" s="125"/>
      <c r="D53" s="125"/>
      <c r="E53" s="125"/>
      <c r="F53" s="125"/>
      <c r="G53" s="44"/>
      <c r="H53" s="223"/>
      <c r="I53" s="59">
        <v>40</v>
      </c>
      <c r="J53" s="186">
        <v>800</v>
      </c>
      <c r="K53" s="68">
        <v>138</v>
      </c>
      <c r="L53" s="68"/>
      <c r="M53" s="68"/>
      <c r="N53" s="12"/>
    </row>
    <row r="54" spans="1:14" ht="15" customHeight="1" x14ac:dyDescent="0.25">
      <c r="A54" s="42" t="s">
        <v>0</v>
      </c>
      <c r="B54" s="42" t="s">
        <v>1</v>
      </c>
      <c r="C54" s="42" t="s">
        <v>70</v>
      </c>
      <c r="D54" s="42" t="s">
        <v>2</v>
      </c>
      <c r="E54" s="42" t="s">
        <v>293</v>
      </c>
      <c r="F54" s="42" t="s">
        <v>294</v>
      </c>
      <c r="G54" s="44"/>
      <c r="H54" s="42" t="s">
        <v>0</v>
      </c>
      <c r="I54" s="42" t="s">
        <v>1</v>
      </c>
      <c r="J54" s="42" t="s">
        <v>70</v>
      </c>
      <c r="K54" s="42" t="s">
        <v>2</v>
      </c>
      <c r="L54" s="42" t="s">
        <v>293</v>
      </c>
      <c r="M54" s="42" t="s">
        <v>294</v>
      </c>
    </row>
    <row r="55" spans="1:14" ht="15" customHeight="1" x14ac:dyDescent="0.25">
      <c r="A55" s="253" t="s">
        <v>6</v>
      </c>
      <c r="B55" s="173">
        <v>20</v>
      </c>
      <c r="C55" s="56">
        <v>580</v>
      </c>
      <c r="D55" s="57">
        <v>11</v>
      </c>
      <c r="E55" s="76" t="s">
        <v>326</v>
      </c>
      <c r="F55" s="76"/>
      <c r="G55" s="44"/>
      <c r="H55" s="238" t="s">
        <v>9</v>
      </c>
      <c r="I55" s="143">
        <v>20</v>
      </c>
      <c r="J55" s="52">
        <v>760</v>
      </c>
      <c r="K55" s="47">
        <v>369</v>
      </c>
      <c r="L55" s="70"/>
      <c r="M55" s="70"/>
    </row>
    <row r="56" spans="1:14" ht="15" customHeight="1" x14ac:dyDescent="0.25">
      <c r="A56" s="254"/>
      <c r="B56" s="247">
        <v>25</v>
      </c>
      <c r="C56" s="56">
        <v>430</v>
      </c>
      <c r="D56" s="57">
        <v>800.4</v>
      </c>
      <c r="E56" s="76" t="s">
        <v>344</v>
      </c>
      <c r="F56" s="76"/>
      <c r="G56" s="110"/>
      <c r="H56" s="239"/>
      <c r="I56" s="156">
        <v>22</v>
      </c>
      <c r="J56" s="52">
        <v>660</v>
      </c>
      <c r="K56" s="47">
        <v>0</v>
      </c>
      <c r="L56" s="70" t="s">
        <v>482</v>
      </c>
      <c r="M56" s="70"/>
    </row>
    <row r="57" spans="1:14" ht="15" customHeight="1" x14ac:dyDescent="0.25">
      <c r="A57" s="254"/>
      <c r="B57" s="248"/>
      <c r="C57" s="56">
        <v>470</v>
      </c>
      <c r="D57" s="57">
        <v>1130.79</v>
      </c>
      <c r="E57" s="76" t="s">
        <v>345</v>
      </c>
      <c r="F57" s="76"/>
      <c r="G57" s="44"/>
      <c r="H57" s="239"/>
      <c r="I57" s="241">
        <v>25</v>
      </c>
      <c r="J57" s="52">
        <v>630</v>
      </c>
      <c r="K57" s="47">
        <v>0</v>
      </c>
      <c r="L57" s="70" t="s">
        <v>349</v>
      </c>
      <c r="M57" s="70"/>
      <c r="N57" s="4"/>
    </row>
    <row r="58" spans="1:14" ht="15" customHeight="1" x14ac:dyDescent="0.25">
      <c r="A58" s="254"/>
      <c r="B58" s="248"/>
      <c r="C58" s="157">
        <v>490</v>
      </c>
      <c r="D58" s="57">
        <v>6329.25</v>
      </c>
      <c r="E58" s="76"/>
      <c r="F58" s="159" t="s">
        <v>483</v>
      </c>
      <c r="G58" s="44"/>
      <c r="H58" s="239"/>
      <c r="I58" s="243"/>
      <c r="J58" s="52">
        <v>650</v>
      </c>
      <c r="K58" s="104">
        <v>0</v>
      </c>
      <c r="L58" s="52" t="s">
        <v>350</v>
      </c>
      <c r="M58" s="70"/>
    </row>
    <row r="59" spans="1:14" ht="15" customHeight="1" x14ac:dyDescent="0.25">
      <c r="A59" s="254"/>
      <c r="B59" s="248"/>
      <c r="C59" s="56">
        <v>490</v>
      </c>
      <c r="D59" s="57">
        <v>2351.0500000000002</v>
      </c>
      <c r="E59" s="76" t="s">
        <v>346</v>
      </c>
      <c r="F59" s="76"/>
      <c r="G59" s="44"/>
      <c r="H59" s="239"/>
      <c r="I59" s="243"/>
      <c r="J59" s="52">
        <v>660</v>
      </c>
      <c r="K59" s="104">
        <v>0</v>
      </c>
      <c r="L59" s="52" t="s">
        <v>408</v>
      </c>
      <c r="M59" s="70"/>
    </row>
    <row r="60" spans="1:14" ht="15" customHeight="1" x14ac:dyDescent="0.25">
      <c r="A60" s="254"/>
      <c r="B60" s="248"/>
      <c r="C60" s="56">
        <v>520</v>
      </c>
      <c r="D60" s="57">
        <v>0</v>
      </c>
      <c r="E60" s="76" t="s">
        <v>347</v>
      </c>
      <c r="F60" s="76"/>
      <c r="G60" s="51"/>
      <c r="H60" s="239"/>
      <c r="I60" s="242"/>
      <c r="J60" s="52">
        <v>970</v>
      </c>
      <c r="K60" s="104">
        <v>0</v>
      </c>
      <c r="L60" s="52" t="s">
        <v>350</v>
      </c>
      <c r="M60" s="70"/>
      <c r="N60" s="4"/>
    </row>
    <row r="61" spans="1:14" ht="15" customHeight="1" x14ac:dyDescent="0.25">
      <c r="A61" s="254"/>
      <c r="B61" s="248"/>
      <c r="C61" s="56">
        <v>560</v>
      </c>
      <c r="D61" s="57">
        <v>148.43</v>
      </c>
      <c r="E61" s="76" t="s">
        <v>326</v>
      </c>
      <c r="F61" s="76"/>
      <c r="G61" s="51"/>
      <c r="H61" s="239"/>
      <c r="I61" s="241">
        <v>26</v>
      </c>
      <c r="J61" s="52">
        <v>630</v>
      </c>
      <c r="K61" s="104">
        <v>419.5</v>
      </c>
      <c r="L61" s="88" t="s">
        <v>455</v>
      </c>
      <c r="M61" s="70"/>
      <c r="N61" s="15"/>
    </row>
    <row r="62" spans="1:14" ht="15" customHeight="1" x14ac:dyDescent="0.25">
      <c r="A62" s="254"/>
      <c r="B62" s="248"/>
      <c r="C62" s="157">
        <v>560</v>
      </c>
      <c r="D62" s="57">
        <v>9998.52</v>
      </c>
      <c r="E62" s="76"/>
      <c r="F62" s="159" t="s">
        <v>483</v>
      </c>
      <c r="G62" s="51"/>
      <c r="H62" s="239"/>
      <c r="I62" s="243"/>
      <c r="J62" s="52">
        <v>650</v>
      </c>
      <c r="K62" s="47">
        <v>60</v>
      </c>
      <c r="L62" s="88" t="s">
        <v>450</v>
      </c>
      <c r="M62" s="70"/>
    </row>
    <row r="63" spans="1:14" ht="15" customHeight="1" x14ac:dyDescent="0.25">
      <c r="A63" s="254"/>
      <c r="B63" s="248"/>
      <c r="C63" s="56">
        <v>570</v>
      </c>
      <c r="D63" s="57">
        <v>0</v>
      </c>
      <c r="E63" s="76" t="s">
        <v>513</v>
      </c>
      <c r="F63" s="76"/>
      <c r="G63" s="51"/>
      <c r="H63" s="239"/>
      <c r="I63" s="242"/>
      <c r="J63" s="52">
        <v>660</v>
      </c>
      <c r="K63" s="47">
        <v>0</v>
      </c>
      <c r="L63" s="88" t="s">
        <v>408</v>
      </c>
      <c r="M63" s="70"/>
    </row>
    <row r="64" spans="1:14" ht="15" customHeight="1" x14ac:dyDescent="0.25">
      <c r="A64" s="254"/>
      <c r="B64" s="248"/>
      <c r="C64" s="56">
        <v>574</v>
      </c>
      <c r="D64" s="57">
        <v>0</v>
      </c>
      <c r="E64" s="76" t="s">
        <v>345</v>
      </c>
      <c r="F64" s="76"/>
      <c r="G64" s="51"/>
      <c r="H64" s="239"/>
      <c r="I64" s="241">
        <v>28</v>
      </c>
      <c r="J64" s="52">
        <v>660</v>
      </c>
      <c r="K64" s="47">
        <v>0</v>
      </c>
      <c r="L64" s="88"/>
      <c r="M64" s="70"/>
    </row>
    <row r="65" spans="1:14" ht="15" customHeight="1" x14ac:dyDescent="0.25">
      <c r="A65" s="254"/>
      <c r="B65" s="248"/>
      <c r="C65" s="56">
        <v>580</v>
      </c>
      <c r="D65" s="57">
        <v>0</v>
      </c>
      <c r="E65" s="76" t="s">
        <v>326</v>
      </c>
      <c r="F65" s="76"/>
      <c r="G65" s="51"/>
      <c r="H65" s="239"/>
      <c r="I65" s="243"/>
      <c r="J65" s="52">
        <v>670</v>
      </c>
      <c r="K65" s="47">
        <v>0</v>
      </c>
      <c r="L65" s="88" t="s">
        <v>477</v>
      </c>
      <c r="M65" s="160" t="s">
        <v>412</v>
      </c>
    </row>
    <row r="66" spans="1:14" ht="15" customHeight="1" x14ac:dyDescent="0.25">
      <c r="A66" s="254"/>
      <c r="B66" s="248"/>
      <c r="C66" s="157">
        <v>620</v>
      </c>
      <c r="D66" s="57">
        <v>888.66</v>
      </c>
      <c r="E66" s="76"/>
      <c r="F66" s="159" t="s">
        <v>483</v>
      </c>
      <c r="G66" s="51"/>
      <c r="H66" s="239"/>
      <c r="I66" s="243"/>
      <c r="J66" s="52">
        <v>670</v>
      </c>
      <c r="K66" s="47">
        <v>12563.5</v>
      </c>
      <c r="L66" s="88" t="s">
        <v>477</v>
      </c>
      <c r="M66" s="160"/>
    </row>
    <row r="67" spans="1:14" ht="15" customHeight="1" x14ac:dyDescent="0.25">
      <c r="A67" s="254"/>
      <c r="B67" s="248"/>
      <c r="C67" s="56">
        <v>620</v>
      </c>
      <c r="D67" s="57">
        <v>2155.6999999999998</v>
      </c>
      <c r="E67" s="76" t="s">
        <v>348</v>
      </c>
      <c r="F67" s="76"/>
      <c r="G67" s="51"/>
      <c r="H67" s="239"/>
      <c r="I67" s="243"/>
      <c r="J67" s="52">
        <v>760</v>
      </c>
      <c r="K67" s="47">
        <v>1890.5</v>
      </c>
      <c r="L67" s="70" t="s">
        <v>439</v>
      </c>
      <c r="M67" s="70"/>
    </row>
    <row r="68" spans="1:14" ht="15" customHeight="1" x14ac:dyDescent="0.25">
      <c r="A68" s="254"/>
      <c r="B68" s="248"/>
      <c r="C68" s="56">
        <v>660</v>
      </c>
      <c r="D68" s="57">
        <v>0</v>
      </c>
      <c r="E68" s="76"/>
      <c r="F68" s="76"/>
      <c r="G68" s="51"/>
      <c r="H68" s="239"/>
      <c r="I68" s="243"/>
      <c r="J68" s="52">
        <v>690</v>
      </c>
      <c r="K68" s="47">
        <v>154</v>
      </c>
      <c r="L68" s="70"/>
      <c r="M68" s="70"/>
      <c r="N68" s="4"/>
    </row>
    <row r="69" spans="1:14" ht="15" customHeight="1" x14ac:dyDescent="0.25">
      <c r="A69" s="254"/>
      <c r="B69" s="248"/>
      <c r="C69" s="56">
        <v>674</v>
      </c>
      <c r="D69" s="57">
        <v>0</v>
      </c>
      <c r="E69" s="76" t="s">
        <v>345</v>
      </c>
      <c r="F69" s="76"/>
      <c r="G69" s="51"/>
      <c r="H69" s="239"/>
      <c r="I69" s="242"/>
      <c r="J69" s="52">
        <v>990</v>
      </c>
      <c r="K69" s="47">
        <v>0</v>
      </c>
      <c r="L69" s="70"/>
      <c r="M69" s="70"/>
    </row>
    <row r="70" spans="1:14" ht="15" customHeight="1" x14ac:dyDescent="0.25">
      <c r="A70" s="254"/>
      <c r="B70" s="248"/>
      <c r="C70" s="56">
        <v>680</v>
      </c>
      <c r="D70" s="57">
        <v>370.72</v>
      </c>
      <c r="E70" s="76" t="s">
        <v>434</v>
      </c>
      <c r="F70" s="76"/>
      <c r="G70" s="51"/>
      <c r="H70" s="239"/>
      <c r="I70" s="241">
        <v>30</v>
      </c>
      <c r="J70" s="52">
        <v>570</v>
      </c>
      <c r="K70" s="116">
        <v>0</v>
      </c>
      <c r="L70" s="70" t="s">
        <v>440</v>
      </c>
      <c r="M70" s="70"/>
    </row>
    <row r="71" spans="1:14" ht="15" customHeight="1" x14ac:dyDescent="0.25">
      <c r="A71" s="254"/>
      <c r="B71" s="248"/>
      <c r="C71" s="157">
        <v>680</v>
      </c>
      <c r="D71" s="57">
        <v>6710.46</v>
      </c>
      <c r="E71" s="76"/>
      <c r="F71" s="159" t="s">
        <v>483</v>
      </c>
      <c r="G71" s="51"/>
      <c r="H71" s="239"/>
      <c r="I71" s="243"/>
      <c r="J71" s="52">
        <v>670</v>
      </c>
      <c r="K71" s="90">
        <v>0</v>
      </c>
      <c r="L71" s="89" t="s">
        <v>452</v>
      </c>
      <c r="M71" s="70"/>
    </row>
    <row r="72" spans="1:14" ht="15" customHeight="1" x14ac:dyDescent="0.25">
      <c r="A72" s="254"/>
      <c r="B72" s="248"/>
      <c r="C72" s="157">
        <v>700</v>
      </c>
      <c r="D72" s="57">
        <v>1449.68</v>
      </c>
      <c r="E72" s="76"/>
      <c r="F72" s="159" t="s">
        <v>483</v>
      </c>
      <c r="G72" s="51"/>
      <c r="H72" s="239"/>
      <c r="I72" s="243"/>
      <c r="J72" s="52">
        <v>690</v>
      </c>
      <c r="K72" s="47">
        <v>0</v>
      </c>
      <c r="L72" s="70" t="s">
        <v>444</v>
      </c>
      <c r="M72" s="70"/>
    </row>
    <row r="73" spans="1:14" ht="15" customHeight="1" x14ac:dyDescent="0.25">
      <c r="A73" s="254"/>
      <c r="B73" s="248"/>
      <c r="C73" s="56">
        <v>700</v>
      </c>
      <c r="D73" s="57">
        <v>1225.3</v>
      </c>
      <c r="E73" s="76" t="s">
        <v>336</v>
      </c>
      <c r="F73" s="76"/>
      <c r="G73" s="51"/>
      <c r="H73" s="239"/>
      <c r="I73" s="243"/>
      <c r="J73" s="52">
        <v>750</v>
      </c>
      <c r="K73" s="47">
        <v>58</v>
      </c>
      <c r="L73" s="70" t="s">
        <v>351</v>
      </c>
      <c r="M73" s="70"/>
    </row>
    <row r="74" spans="1:14" ht="15" customHeight="1" x14ac:dyDescent="0.25">
      <c r="A74" s="254"/>
      <c r="B74" s="248"/>
      <c r="C74" s="56">
        <v>720</v>
      </c>
      <c r="D74" s="57">
        <v>3</v>
      </c>
      <c r="E74" s="76" t="s">
        <v>345</v>
      </c>
      <c r="F74" s="76"/>
      <c r="G74" s="51"/>
      <c r="H74" s="239"/>
      <c r="I74" s="243"/>
      <c r="J74" s="52">
        <v>760</v>
      </c>
      <c r="K74" s="47">
        <v>0</v>
      </c>
      <c r="L74" s="70" t="s">
        <v>352</v>
      </c>
      <c r="M74" s="70"/>
    </row>
    <row r="75" spans="1:14" ht="15" customHeight="1" x14ac:dyDescent="0.25">
      <c r="A75" s="254"/>
      <c r="B75" s="248"/>
      <c r="C75" s="157">
        <v>740</v>
      </c>
      <c r="D75" s="57">
        <v>620.48</v>
      </c>
      <c r="E75" s="76" t="s">
        <v>430</v>
      </c>
      <c r="F75" s="159" t="s">
        <v>483</v>
      </c>
      <c r="G75" s="51"/>
      <c r="H75" s="239"/>
      <c r="I75" s="242"/>
      <c r="J75" s="52">
        <v>990</v>
      </c>
      <c r="K75" s="47">
        <v>0</v>
      </c>
      <c r="L75" s="70"/>
      <c r="M75" s="70"/>
    </row>
    <row r="76" spans="1:14" ht="15" customHeight="1" x14ac:dyDescent="0.25">
      <c r="A76" s="254"/>
      <c r="B76" s="248"/>
      <c r="C76" s="56">
        <v>760</v>
      </c>
      <c r="D76" s="57">
        <v>400.52</v>
      </c>
      <c r="E76" s="76"/>
      <c r="F76" s="159"/>
      <c r="G76" s="51"/>
      <c r="H76" s="239"/>
      <c r="I76" s="241">
        <v>35</v>
      </c>
      <c r="J76" s="52">
        <v>650</v>
      </c>
      <c r="K76" s="47">
        <v>0</v>
      </c>
      <c r="L76" s="70" t="s">
        <v>481</v>
      </c>
      <c r="M76" s="70"/>
    </row>
    <row r="77" spans="1:14" ht="15" customHeight="1" x14ac:dyDescent="0.25">
      <c r="A77" s="254"/>
      <c r="B77" s="249"/>
      <c r="C77" s="56">
        <v>800</v>
      </c>
      <c r="D77" s="57">
        <v>155</v>
      </c>
      <c r="E77" s="76" t="s">
        <v>357</v>
      </c>
      <c r="F77" s="126" t="s">
        <v>409</v>
      </c>
      <c r="G77" s="44"/>
      <c r="H77" s="239"/>
      <c r="I77" s="243"/>
      <c r="J77" s="52">
        <v>750</v>
      </c>
      <c r="K77" s="47">
        <v>0</v>
      </c>
      <c r="L77" s="70" t="s">
        <v>353</v>
      </c>
      <c r="M77" s="70"/>
    </row>
    <row r="78" spans="1:14" ht="15" customHeight="1" x14ac:dyDescent="0.25">
      <c r="A78" s="254"/>
      <c r="B78" s="250">
        <v>30</v>
      </c>
      <c r="C78" s="56">
        <v>430</v>
      </c>
      <c r="D78" s="57">
        <f>639.4+617.4</f>
        <v>1256.8</v>
      </c>
      <c r="E78" s="76"/>
      <c r="F78" s="76"/>
      <c r="G78" s="44"/>
      <c r="H78" s="239"/>
      <c r="I78" s="243"/>
      <c r="J78" s="52">
        <v>770</v>
      </c>
      <c r="K78" s="47">
        <v>0</v>
      </c>
      <c r="L78" s="70" t="s">
        <v>358</v>
      </c>
      <c r="M78" s="70"/>
    </row>
    <row r="79" spans="1:14" ht="15" customHeight="1" x14ac:dyDescent="0.25">
      <c r="A79" s="254"/>
      <c r="B79" s="251"/>
      <c r="C79" s="56">
        <v>600</v>
      </c>
      <c r="D79" s="57">
        <v>2324.4</v>
      </c>
      <c r="E79" s="76"/>
      <c r="F79" s="76"/>
      <c r="G79" s="51"/>
      <c r="H79" s="239"/>
      <c r="I79" s="242"/>
      <c r="J79" s="52">
        <v>990</v>
      </c>
      <c r="K79" s="47">
        <v>1226.5</v>
      </c>
      <c r="L79" s="70"/>
      <c r="M79" s="70"/>
    </row>
    <row r="80" spans="1:14" ht="15" customHeight="1" x14ac:dyDescent="0.25">
      <c r="A80" s="254"/>
      <c r="B80" s="251"/>
      <c r="C80" s="157">
        <v>700</v>
      </c>
      <c r="D80" s="57">
        <v>959.34</v>
      </c>
      <c r="E80" s="76" t="s">
        <v>453</v>
      </c>
      <c r="F80" s="159" t="s">
        <v>483</v>
      </c>
      <c r="G80" s="51"/>
      <c r="H80" s="239"/>
      <c r="I80" s="118">
        <v>38</v>
      </c>
      <c r="J80" s="52">
        <v>750</v>
      </c>
      <c r="K80" s="47">
        <v>0</v>
      </c>
      <c r="L80" s="70" t="s">
        <v>410</v>
      </c>
      <c r="M80" s="70"/>
    </row>
    <row r="81" spans="1:13" ht="15" customHeight="1" x14ac:dyDescent="0.25">
      <c r="A81" s="254"/>
      <c r="B81" s="252"/>
      <c r="C81" s="56">
        <v>740</v>
      </c>
      <c r="D81" s="57">
        <v>0</v>
      </c>
      <c r="E81" s="76" t="s">
        <v>523</v>
      </c>
      <c r="F81" s="159"/>
      <c r="G81" s="44"/>
      <c r="H81" s="239"/>
      <c r="I81" s="241">
        <v>40</v>
      </c>
      <c r="J81" s="52">
        <v>670</v>
      </c>
      <c r="K81" s="53">
        <v>189.5</v>
      </c>
      <c r="L81" s="70" t="s">
        <v>441</v>
      </c>
      <c r="M81" s="70"/>
    </row>
    <row r="82" spans="1:13" x14ac:dyDescent="0.25">
      <c r="A82" s="255"/>
      <c r="B82" s="108">
        <v>35</v>
      </c>
      <c r="C82" s="56">
        <v>770</v>
      </c>
      <c r="D82" s="57">
        <v>0</v>
      </c>
      <c r="E82" s="76" t="s">
        <v>523</v>
      </c>
      <c r="F82" s="159"/>
      <c r="G82" s="44"/>
      <c r="H82" s="239"/>
      <c r="I82" s="243"/>
      <c r="J82" s="52">
        <v>690</v>
      </c>
      <c r="K82" s="47">
        <v>0</v>
      </c>
      <c r="L82" s="70"/>
      <c r="M82" s="70"/>
    </row>
    <row r="83" spans="1:13" ht="15" customHeight="1" x14ac:dyDescent="0.25">
      <c r="A83" s="42" t="s">
        <v>0</v>
      </c>
      <c r="B83" s="42" t="s">
        <v>1</v>
      </c>
      <c r="C83" s="42" t="s">
        <v>70</v>
      </c>
      <c r="D83" s="42" t="s">
        <v>2</v>
      </c>
      <c r="E83" s="42" t="s">
        <v>293</v>
      </c>
      <c r="F83" s="42" t="s">
        <v>294</v>
      </c>
      <c r="G83" s="51"/>
      <c r="H83" s="239"/>
      <c r="I83" s="243"/>
      <c r="J83" s="52">
        <v>770</v>
      </c>
      <c r="K83" s="47">
        <v>0</v>
      </c>
      <c r="L83" s="70" t="s">
        <v>329</v>
      </c>
      <c r="M83" s="70"/>
    </row>
    <row r="84" spans="1:13" x14ac:dyDescent="0.25">
      <c r="A84" s="212" t="s">
        <v>68</v>
      </c>
      <c r="B84" s="244">
        <v>25</v>
      </c>
      <c r="C84" s="54">
        <v>430</v>
      </c>
      <c r="D84" s="55">
        <f>705.6+172.2</f>
        <v>877.8</v>
      </c>
      <c r="E84" s="74" t="s">
        <v>344</v>
      </c>
      <c r="F84" s="74"/>
      <c r="G84" s="51"/>
      <c r="H84" s="239"/>
      <c r="I84" s="243"/>
      <c r="J84" s="52">
        <v>780</v>
      </c>
      <c r="K84" s="47">
        <v>0</v>
      </c>
      <c r="L84" s="70" t="s">
        <v>330</v>
      </c>
      <c r="M84" s="70"/>
    </row>
    <row r="85" spans="1:13" x14ac:dyDescent="0.25">
      <c r="A85" s="213"/>
      <c r="B85" s="245"/>
      <c r="C85" s="54">
        <v>470</v>
      </c>
      <c r="D85" s="55">
        <v>780.55</v>
      </c>
      <c r="E85" s="74" t="s">
        <v>345</v>
      </c>
      <c r="F85" s="74"/>
      <c r="G85" s="51"/>
      <c r="H85" s="239"/>
      <c r="I85" s="242"/>
      <c r="J85" s="52">
        <v>990</v>
      </c>
      <c r="K85" s="47">
        <v>0</v>
      </c>
      <c r="L85" s="70" t="s">
        <v>457</v>
      </c>
      <c r="M85" s="70"/>
    </row>
    <row r="86" spans="1:13" ht="15" customHeight="1" x14ac:dyDescent="0.25">
      <c r="A86" s="213"/>
      <c r="B86" s="245"/>
      <c r="C86" s="54">
        <v>490</v>
      </c>
      <c r="D86" s="55">
        <v>927.4</v>
      </c>
      <c r="E86" s="74" t="s">
        <v>346</v>
      </c>
      <c r="F86" s="74"/>
      <c r="G86" s="51"/>
      <c r="H86" s="239"/>
      <c r="I86" s="62">
        <v>45</v>
      </c>
      <c r="J86" s="52">
        <v>690</v>
      </c>
      <c r="K86" s="47">
        <v>476.5</v>
      </c>
      <c r="L86" s="47"/>
      <c r="M86" s="70"/>
    </row>
    <row r="87" spans="1:13" ht="15" customHeight="1" x14ac:dyDescent="0.25">
      <c r="A87" s="213"/>
      <c r="B87" s="245"/>
      <c r="C87" s="190">
        <v>490</v>
      </c>
      <c r="D87" s="55">
        <v>5867.7</v>
      </c>
      <c r="E87" s="74"/>
      <c r="F87" s="195" t="s">
        <v>483</v>
      </c>
      <c r="G87" s="44"/>
      <c r="H87" s="239"/>
      <c r="I87" s="238">
        <v>50</v>
      </c>
      <c r="J87" s="52">
        <v>440</v>
      </c>
      <c r="K87" s="47">
        <v>234.5</v>
      </c>
      <c r="L87" s="47"/>
      <c r="M87" s="70"/>
    </row>
    <row r="88" spans="1:13" ht="14.25" customHeight="1" x14ac:dyDescent="0.25">
      <c r="A88" s="213"/>
      <c r="B88" s="245"/>
      <c r="C88" s="54">
        <v>520</v>
      </c>
      <c r="D88" s="55">
        <v>0</v>
      </c>
      <c r="E88" s="74" t="s">
        <v>347</v>
      </c>
      <c r="F88" s="74"/>
      <c r="G88" s="44"/>
      <c r="H88" s="239"/>
      <c r="I88" s="239"/>
      <c r="J88" s="52">
        <v>470</v>
      </c>
      <c r="K88" s="47">
        <v>937</v>
      </c>
      <c r="L88" s="47" t="s">
        <v>358</v>
      </c>
      <c r="M88" s="70"/>
    </row>
    <row r="89" spans="1:13" ht="15" customHeight="1" x14ac:dyDescent="0.25">
      <c r="A89" s="213"/>
      <c r="B89" s="245"/>
      <c r="C89" s="54">
        <v>574</v>
      </c>
      <c r="D89" s="55">
        <v>0</v>
      </c>
      <c r="E89" s="74" t="s">
        <v>345</v>
      </c>
      <c r="F89" s="74"/>
      <c r="G89" s="44"/>
      <c r="H89" s="239"/>
      <c r="I89" s="239"/>
      <c r="J89" s="52">
        <v>630</v>
      </c>
      <c r="K89" s="47">
        <v>2818</v>
      </c>
      <c r="L89" s="70" t="s">
        <v>354</v>
      </c>
      <c r="M89" s="70"/>
    </row>
    <row r="90" spans="1:13" ht="14.25" customHeight="1" x14ac:dyDescent="0.25">
      <c r="A90" s="213"/>
      <c r="B90" s="245"/>
      <c r="C90" s="54">
        <v>620</v>
      </c>
      <c r="D90" s="55">
        <v>499.15</v>
      </c>
      <c r="E90" s="74" t="s">
        <v>348</v>
      </c>
      <c r="F90" s="74"/>
      <c r="G90" s="44"/>
      <c r="H90" s="239"/>
      <c r="I90" s="239"/>
      <c r="J90" s="52">
        <v>660</v>
      </c>
      <c r="K90" s="47">
        <v>1541</v>
      </c>
      <c r="L90" s="70" t="s">
        <v>355</v>
      </c>
      <c r="M90" s="70"/>
    </row>
    <row r="91" spans="1:13" ht="12.75" customHeight="1" x14ac:dyDescent="0.25">
      <c r="A91" s="213"/>
      <c r="B91" s="245"/>
      <c r="C91" s="190">
        <v>620</v>
      </c>
      <c r="D91" s="55">
        <v>2023.86</v>
      </c>
      <c r="E91" s="74"/>
      <c r="F91" s="195" t="s">
        <v>483</v>
      </c>
      <c r="G91" s="44"/>
      <c r="H91" s="239"/>
      <c r="I91" s="239"/>
      <c r="J91" s="52">
        <v>670</v>
      </c>
      <c r="K91" s="47">
        <v>100.5</v>
      </c>
      <c r="L91" s="70"/>
      <c r="M91" s="70"/>
    </row>
    <row r="92" spans="1:13" ht="14.25" customHeight="1" x14ac:dyDescent="0.25">
      <c r="A92" s="213"/>
      <c r="B92" s="245"/>
      <c r="C92" s="54">
        <v>674</v>
      </c>
      <c r="D92" s="55">
        <v>0</v>
      </c>
      <c r="E92" s="74" t="s">
        <v>345</v>
      </c>
      <c r="F92" s="74"/>
      <c r="G92" s="44"/>
      <c r="H92" s="239"/>
      <c r="I92" s="240"/>
      <c r="J92" s="52" t="s">
        <v>313</v>
      </c>
      <c r="K92" s="47">
        <v>1693</v>
      </c>
      <c r="L92" s="70" t="s">
        <v>355</v>
      </c>
      <c r="M92" s="70"/>
    </row>
    <row r="93" spans="1:13" ht="14.25" customHeight="1" x14ac:dyDescent="0.25">
      <c r="A93" s="214"/>
      <c r="B93" s="246"/>
      <c r="C93" s="54">
        <v>720</v>
      </c>
      <c r="D93" s="55">
        <v>0</v>
      </c>
      <c r="E93" s="74" t="s">
        <v>345</v>
      </c>
      <c r="F93" s="74"/>
      <c r="G93" s="44"/>
      <c r="H93" s="239"/>
      <c r="I93" s="241">
        <v>53</v>
      </c>
      <c r="J93" s="52">
        <v>690</v>
      </c>
      <c r="K93" s="47">
        <v>222</v>
      </c>
      <c r="L93" s="70" t="s">
        <v>356</v>
      </c>
      <c r="M93" s="70"/>
    </row>
    <row r="94" spans="1:13" ht="13.5" customHeight="1" x14ac:dyDescent="0.25">
      <c r="B94" s="42" t="s">
        <v>0</v>
      </c>
      <c r="C94" s="69" t="s">
        <v>297</v>
      </c>
      <c r="D94" s="69" t="s">
        <v>274</v>
      </c>
      <c r="G94" s="44"/>
      <c r="H94" s="239"/>
      <c r="I94" s="242"/>
      <c r="J94" s="52">
        <v>670</v>
      </c>
      <c r="K94" s="47">
        <v>2962</v>
      </c>
      <c r="L94" s="70" t="s">
        <v>356</v>
      </c>
      <c r="M94" s="70"/>
    </row>
    <row r="95" spans="1:13" ht="12.75" customHeight="1" x14ac:dyDescent="0.25">
      <c r="B95" s="70" t="s">
        <v>3</v>
      </c>
      <c r="C95" s="91">
        <f>SUM(D6:D15,D17:D23,D25:D36,D38:D43,D47)</f>
        <v>13726.43</v>
      </c>
      <c r="D95" s="91">
        <f t="shared" ref="D95:D103" si="0">SUM(B95:C95)</f>
        <v>13726.43</v>
      </c>
      <c r="G95" s="44"/>
      <c r="H95" s="239"/>
      <c r="I95" s="241">
        <v>55</v>
      </c>
      <c r="J95" s="52">
        <v>680</v>
      </c>
      <c r="K95" s="47">
        <v>78</v>
      </c>
      <c r="L95" s="70"/>
      <c r="M95" s="70"/>
    </row>
    <row r="96" spans="1:13" ht="13.5" customHeight="1" x14ac:dyDescent="0.25">
      <c r="A96" s="138"/>
      <c r="B96" s="70" t="s">
        <v>520</v>
      </c>
      <c r="C96" s="91">
        <f>SUM(D16,D24,D37,D44:D46)</f>
        <v>27233.43</v>
      </c>
      <c r="D96" s="91">
        <f t="shared" si="0"/>
        <v>27233.43</v>
      </c>
      <c r="E96" s="135"/>
      <c r="G96" s="44"/>
      <c r="H96" s="239"/>
      <c r="I96" s="243"/>
      <c r="J96" s="52">
        <v>470</v>
      </c>
      <c r="K96" s="47">
        <v>0</v>
      </c>
      <c r="L96" s="70"/>
      <c r="M96" s="70"/>
    </row>
    <row r="97" spans="2:13" ht="12.75" customHeight="1" x14ac:dyDescent="0.25">
      <c r="B97" s="72" t="s">
        <v>10</v>
      </c>
      <c r="C97" s="73">
        <f>SUM(K6:K11,K13:K15,K17:K19)</f>
        <v>54</v>
      </c>
      <c r="D97" s="73">
        <f t="shared" si="0"/>
        <v>54</v>
      </c>
      <c r="E97" s="136"/>
      <c r="G97" s="45"/>
      <c r="H97" s="239"/>
      <c r="I97" s="243"/>
      <c r="J97" s="52">
        <v>750</v>
      </c>
      <c r="K97" s="47">
        <v>0</v>
      </c>
      <c r="L97" s="70"/>
      <c r="M97" s="70"/>
    </row>
    <row r="98" spans="2:13" ht="12.75" customHeight="1" x14ac:dyDescent="0.25">
      <c r="B98" s="72" t="s">
        <v>521</v>
      </c>
      <c r="C98" s="73">
        <f>SUM(K16,K12)</f>
        <v>2326.08</v>
      </c>
      <c r="D98" s="73">
        <f t="shared" si="0"/>
        <v>2326.08</v>
      </c>
      <c r="E98" s="137"/>
      <c r="G98" s="50"/>
      <c r="H98" s="239"/>
      <c r="I98" s="243"/>
      <c r="J98" s="52">
        <v>790</v>
      </c>
      <c r="K98" s="47">
        <v>0</v>
      </c>
      <c r="L98" s="70"/>
      <c r="M98" s="70"/>
    </row>
    <row r="99" spans="2:13" ht="12" customHeight="1" x14ac:dyDescent="0.25">
      <c r="B99" s="74" t="s">
        <v>71</v>
      </c>
      <c r="C99" s="75">
        <f>SUM(D84:D86,D88:D90,D92:D93)</f>
        <v>3084.9</v>
      </c>
      <c r="D99" s="75">
        <f t="shared" si="0"/>
        <v>3084.9</v>
      </c>
      <c r="E99" s="136"/>
      <c r="G99" s="50"/>
      <c r="H99" s="239"/>
      <c r="I99" s="242"/>
      <c r="J99" s="52">
        <v>1020</v>
      </c>
      <c r="K99" s="47">
        <v>0</v>
      </c>
      <c r="L99" s="70" t="s">
        <v>445</v>
      </c>
      <c r="M99" s="70"/>
    </row>
    <row r="100" spans="2:13" ht="12" customHeight="1" x14ac:dyDescent="0.25">
      <c r="B100" s="74" t="s">
        <v>522</v>
      </c>
      <c r="C100" s="75">
        <f>SUM(D87,D91)</f>
        <v>7891.5599999999995</v>
      </c>
      <c r="D100" s="75">
        <f t="shared" si="0"/>
        <v>7891.5599999999995</v>
      </c>
      <c r="E100" s="136"/>
      <c r="G100" s="45"/>
      <c r="H100" s="239"/>
      <c r="I100" s="241">
        <v>58</v>
      </c>
      <c r="J100" s="52">
        <v>670</v>
      </c>
      <c r="K100" s="47">
        <v>566</v>
      </c>
      <c r="L100" s="70" t="s">
        <v>514</v>
      </c>
      <c r="M100" s="70"/>
    </row>
    <row r="101" spans="2:13" ht="12.75" customHeight="1" x14ac:dyDescent="0.25">
      <c r="B101" s="76" t="s">
        <v>7</v>
      </c>
      <c r="C101" s="92">
        <f>SUM(D55:D57,D59:D61,D63:D65,D67:D70,D73:D74,D76:D79,D82)</f>
        <v>12333.109999999999</v>
      </c>
      <c r="D101" s="92">
        <f t="shared" si="0"/>
        <v>12333.109999999999</v>
      </c>
      <c r="E101" s="137"/>
      <c r="G101" s="50"/>
      <c r="H101" s="239"/>
      <c r="I101" s="242"/>
      <c r="J101" s="52">
        <v>690</v>
      </c>
      <c r="K101" s="47">
        <v>0</v>
      </c>
      <c r="L101" s="70" t="s">
        <v>421</v>
      </c>
      <c r="M101" s="70"/>
    </row>
    <row r="102" spans="2:13" ht="12.75" customHeight="1" x14ac:dyDescent="0.25">
      <c r="B102" s="76" t="s">
        <v>519</v>
      </c>
      <c r="C102" s="92">
        <f>SUM(D58,D62,D66,D71:D72,D75,D80)</f>
        <v>26956.39</v>
      </c>
      <c r="D102" s="92">
        <f t="shared" si="0"/>
        <v>26956.39</v>
      </c>
      <c r="E102" s="136"/>
      <c r="G102" s="45"/>
      <c r="H102" s="239"/>
      <c r="I102" s="241">
        <v>60</v>
      </c>
      <c r="J102" s="52">
        <v>750</v>
      </c>
      <c r="K102" s="90">
        <v>0</v>
      </c>
      <c r="L102" s="89" t="s">
        <v>456</v>
      </c>
      <c r="M102" s="89"/>
    </row>
    <row r="103" spans="2:13" ht="13.5" customHeight="1" x14ac:dyDescent="0.25">
      <c r="B103" s="70" t="s">
        <v>5</v>
      </c>
      <c r="C103" s="71">
        <f>SUM(K22:K42,K44:K45)</f>
        <v>8010.7099999999991</v>
      </c>
      <c r="D103" s="71">
        <f t="shared" si="0"/>
        <v>8010.7099999999991</v>
      </c>
      <c r="E103" s="137"/>
      <c r="G103" s="45"/>
      <c r="H103" s="239"/>
      <c r="I103" s="243"/>
      <c r="J103" s="52">
        <v>760</v>
      </c>
      <c r="K103" s="47">
        <v>0</v>
      </c>
      <c r="L103" s="70" t="s">
        <v>442</v>
      </c>
      <c r="M103" s="70"/>
    </row>
    <row r="104" spans="2:13" ht="13.5" customHeight="1" x14ac:dyDescent="0.25">
      <c r="B104" s="70" t="s">
        <v>524</v>
      </c>
      <c r="C104" s="71">
        <f>SUM(K43,K46)</f>
        <v>5086.78</v>
      </c>
      <c r="D104" s="71"/>
      <c r="E104" s="137"/>
      <c r="G104" s="45"/>
      <c r="H104" s="239"/>
      <c r="I104" s="242"/>
      <c r="J104" s="52">
        <v>690</v>
      </c>
      <c r="K104" s="47">
        <v>421</v>
      </c>
      <c r="L104" s="70" t="s">
        <v>495</v>
      </c>
      <c r="M104" s="70"/>
    </row>
    <row r="105" spans="2:13" ht="13.5" customHeight="1" x14ac:dyDescent="0.25">
      <c r="B105" s="77" t="s">
        <v>373</v>
      </c>
      <c r="C105" s="93">
        <f>SUM(D50:D51)</f>
        <v>700.77</v>
      </c>
      <c r="D105" s="93">
        <f>SUM(B105:C105)</f>
        <v>700.77</v>
      </c>
      <c r="E105" s="137"/>
      <c r="G105" s="50"/>
      <c r="H105" s="239"/>
      <c r="I105" s="241">
        <v>70</v>
      </c>
      <c r="J105" s="52">
        <v>600</v>
      </c>
      <c r="K105" s="47">
        <v>0</v>
      </c>
      <c r="L105" s="70" t="s">
        <v>478</v>
      </c>
      <c r="M105" s="70"/>
    </row>
    <row r="106" spans="2:13" ht="14.25" customHeight="1" x14ac:dyDescent="0.25">
      <c r="B106" s="77" t="s">
        <v>8</v>
      </c>
      <c r="C106" s="93">
        <f>SUM(K55:K106)</f>
        <v>28980</v>
      </c>
      <c r="D106" s="93">
        <f>SUM(B106:C106)</f>
        <v>28980</v>
      </c>
      <c r="E106" s="139"/>
      <c r="G106" s="50"/>
      <c r="H106" s="240"/>
      <c r="I106" s="242"/>
      <c r="J106" s="52">
        <v>720</v>
      </c>
      <c r="K106" s="47">
        <v>0</v>
      </c>
      <c r="L106" s="70" t="s">
        <v>479</v>
      </c>
      <c r="M106" s="70"/>
    </row>
    <row r="107" spans="2:13" ht="13.5" customHeight="1" x14ac:dyDescent="0.25">
      <c r="B107" s="77" t="s">
        <v>372</v>
      </c>
      <c r="C107" s="93">
        <f>SUM(K49:K53)</f>
        <v>3721.5</v>
      </c>
      <c r="D107" s="93">
        <f>SUM(B107:C107)</f>
        <v>3721.5</v>
      </c>
      <c r="G107" s="45"/>
      <c r="H107" s="134"/>
      <c r="I107" s="134"/>
      <c r="J107" s="134"/>
      <c r="K107" s="134"/>
      <c r="L107" s="134"/>
      <c r="M107" s="134"/>
    </row>
    <row r="108" spans="2:13" x14ac:dyDescent="0.25">
      <c r="B108" s="78" t="s">
        <v>295</v>
      </c>
      <c r="C108" s="94">
        <f>SUM(C95:C107)</f>
        <v>140105.65999999997</v>
      </c>
      <c r="D108" s="94">
        <f>SUM(B108:C108)</f>
        <v>140105.65999999997</v>
      </c>
      <c r="G108" s="45"/>
      <c r="H108" s="131"/>
      <c r="I108" s="132"/>
      <c r="J108" s="130"/>
      <c r="K108" s="133"/>
      <c r="L108" s="133"/>
      <c r="M108" s="133"/>
    </row>
    <row r="109" spans="2:13" ht="15" customHeight="1" x14ac:dyDescent="0.25">
      <c r="D109" s="162"/>
      <c r="G109" s="45"/>
    </row>
    <row r="110" spans="2:13" ht="15" customHeight="1" x14ac:dyDescent="0.25"/>
    <row r="118" ht="15" customHeight="1" x14ac:dyDescent="0.25"/>
  </sheetData>
  <mergeCells count="34">
    <mergeCell ref="B84:B93"/>
    <mergeCell ref="B56:B77"/>
    <mergeCell ref="B78:B81"/>
    <mergeCell ref="A55:A82"/>
    <mergeCell ref="A50:A51"/>
    <mergeCell ref="B50:B51"/>
    <mergeCell ref="H55:H106"/>
    <mergeCell ref="I105:I106"/>
    <mergeCell ref="I70:I75"/>
    <mergeCell ref="I76:I79"/>
    <mergeCell ref="I100:I101"/>
    <mergeCell ref="I57:I60"/>
    <mergeCell ref="I61:I63"/>
    <mergeCell ref="I102:I104"/>
    <mergeCell ref="I95:I99"/>
    <mergeCell ref="I93:I94"/>
    <mergeCell ref="I81:I85"/>
    <mergeCell ref="I64:I69"/>
    <mergeCell ref="I87:I92"/>
    <mergeCell ref="A84:A93"/>
    <mergeCell ref="I50:I52"/>
    <mergeCell ref="H49:H53"/>
    <mergeCell ref="B9:B13"/>
    <mergeCell ref="I6:I16"/>
    <mergeCell ref="H6:H19"/>
    <mergeCell ref="I39:I46"/>
    <mergeCell ref="I17:I19"/>
    <mergeCell ref="B14:B30"/>
    <mergeCell ref="B31:B44"/>
    <mergeCell ref="H22:H46"/>
    <mergeCell ref="I23:I37"/>
    <mergeCell ref="B45:B46"/>
    <mergeCell ref="A4:J4"/>
    <mergeCell ref="B7:B8"/>
  </mergeCells>
  <pageMargins left="0.39370078740157483" right="0.40625" top="0.19685039370078741" bottom="0.11811023622047245" header="0.31496062992125984" footer="0.31496062992125984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4:N102"/>
  <sheetViews>
    <sheetView showGridLines="0" view="pageLayout" topLeftCell="A4" zoomScaleNormal="100" workbookViewId="0">
      <selection activeCell="J21" sqref="J21"/>
    </sheetView>
  </sheetViews>
  <sheetFormatPr baseColWidth="10" defaultRowHeight="15" x14ac:dyDescent="0.25"/>
  <cols>
    <col min="1" max="1" width="7.7109375" style="1" customWidth="1"/>
    <col min="2" max="2" width="7.28515625" style="1" customWidth="1"/>
    <col min="3" max="3" width="7.42578125" style="1" customWidth="1"/>
    <col min="4" max="4" width="8.140625" style="1" customWidth="1"/>
    <col min="5" max="5" width="7" style="1" customWidth="1"/>
    <col min="6" max="6" width="7.42578125" style="1" customWidth="1"/>
    <col min="7" max="7" width="1.28515625" style="1" customWidth="1"/>
    <col min="8" max="8" width="8.85546875" style="1" customWidth="1"/>
    <col min="9" max="10" width="8.5703125" style="1" customWidth="1"/>
    <col min="11" max="11" width="8.42578125" style="1" customWidth="1"/>
    <col min="12" max="12" width="8.7109375" style="1" customWidth="1"/>
    <col min="13" max="13" width="8.28515625" style="1" customWidth="1"/>
    <col min="14" max="16384" width="11.42578125" style="1"/>
  </cols>
  <sheetData>
    <row r="4" spans="1:13" ht="16.5" customHeight="1" x14ac:dyDescent="0.3">
      <c r="A4" s="217" t="s">
        <v>310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</row>
    <row r="5" spans="1:13" ht="9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x14ac:dyDescent="0.25">
      <c r="A6" s="42" t="s">
        <v>0</v>
      </c>
      <c r="B6" s="42" t="s">
        <v>1</v>
      </c>
      <c r="C6" s="42" t="s">
        <v>70</v>
      </c>
      <c r="D6" s="43" t="s">
        <v>2</v>
      </c>
      <c r="E6" s="43" t="s">
        <v>292</v>
      </c>
      <c r="F6" s="43" t="s">
        <v>294</v>
      </c>
      <c r="G6" s="44"/>
      <c r="H6" s="42" t="s">
        <v>0</v>
      </c>
      <c r="I6" s="42" t="s">
        <v>1</v>
      </c>
      <c r="J6" s="42" t="s">
        <v>70</v>
      </c>
      <c r="K6" s="42" t="s">
        <v>2</v>
      </c>
      <c r="L6" s="42" t="s">
        <v>293</v>
      </c>
      <c r="M6" s="42" t="s">
        <v>294</v>
      </c>
    </row>
    <row r="7" spans="1:13" ht="15.75" customHeight="1" x14ac:dyDescent="0.25">
      <c r="A7" s="111" t="s">
        <v>66</v>
      </c>
      <c r="B7" s="79">
        <v>35</v>
      </c>
      <c r="C7" s="80">
        <v>700</v>
      </c>
      <c r="D7" s="47">
        <v>5314.6</v>
      </c>
      <c r="E7" s="70"/>
      <c r="F7" s="70"/>
      <c r="G7" s="44"/>
      <c r="H7" s="209" t="s">
        <v>5</v>
      </c>
      <c r="I7" s="64">
        <v>17</v>
      </c>
      <c r="J7" s="61">
        <v>620</v>
      </c>
      <c r="K7" s="55">
        <v>747.6</v>
      </c>
      <c r="L7" s="74"/>
      <c r="M7" s="74"/>
    </row>
    <row r="8" spans="1:13" ht="15" customHeight="1" x14ac:dyDescent="0.25">
      <c r="A8" s="110"/>
      <c r="H8" s="211"/>
      <c r="I8" s="64">
        <v>25</v>
      </c>
      <c r="J8" s="61">
        <v>660</v>
      </c>
      <c r="K8" s="55">
        <v>337.04</v>
      </c>
      <c r="L8" s="74"/>
      <c r="M8" s="74"/>
    </row>
    <row r="9" spans="1:13" ht="15" customHeight="1" x14ac:dyDescent="0.25">
      <c r="A9" s="65" t="s">
        <v>69</v>
      </c>
      <c r="B9" s="65"/>
      <c r="C9" s="65"/>
      <c r="D9" s="65"/>
      <c r="E9" s="65"/>
      <c r="F9" s="65"/>
    </row>
    <row r="10" spans="1:13" ht="15" customHeight="1" x14ac:dyDescent="0.25">
      <c r="A10" s="66" t="s">
        <v>0</v>
      </c>
      <c r="B10" s="66" t="s">
        <v>1</v>
      </c>
      <c r="C10" s="42" t="s">
        <v>70</v>
      </c>
      <c r="D10" s="66" t="s">
        <v>2</v>
      </c>
      <c r="E10" s="42" t="s">
        <v>293</v>
      </c>
      <c r="F10" s="42" t="s">
        <v>294</v>
      </c>
      <c r="H10" s="42" t="s">
        <v>0</v>
      </c>
      <c r="I10" s="42" t="s">
        <v>1</v>
      </c>
      <c r="J10" s="42" t="s">
        <v>70</v>
      </c>
      <c r="K10" s="42" t="s">
        <v>2</v>
      </c>
      <c r="L10" s="42" t="s">
        <v>293</v>
      </c>
      <c r="M10" s="42" t="s">
        <v>294</v>
      </c>
    </row>
    <row r="11" spans="1:13" ht="15" customHeight="1" x14ac:dyDescent="0.25">
      <c r="A11" s="106" t="s">
        <v>3</v>
      </c>
      <c r="B11" s="67">
        <v>40</v>
      </c>
      <c r="C11" s="105">
        <v>1000</v>
      </c>
      <c r="D11" s="105">
        <v>556</v>
      </c>
      <c r="E11" s="105"/>
      <c r="F11" s="105"/>
      <c r="H11" s="58" t="s">
        <v>286</v>
      </c>
      <c r="I11" s="59">
        <v>30</v>
      </c>
      <c r="J11" s="60">
        <v>740</v>
      </c>
      <c r="K11" s="68">
        <v>0</v>
      </c>
      <c r="L11" s="68"/>
      <c r="M11" s="68"/>
    </row>
    <row r="12" spans="1:13" ht="15" customHeight="1" x14ac:dyDescent="0.25">
      <c r="A12" s="44"/>
    </row>
    <row r="13" spans="1:13" ht="15" customHeight="1" x14ac:dyDescent="0.25">
      <c r="A13" s="42" t="s">
        <v>0</v>
      </c>
      <c r="B13" s="42" t="s">
        <v>1</v>
      </c>
      <c r="C13" s="42" t="s">
        <v>70</v>
      </c>
      <c r="D13" s="42" t="s">
        <v>2</v>
      </c>
      <c r="E13" s="42" t="s">
        <v>293</v>
      </c>
      <c r="F13" s="42" t="s">
        <v>294</v>
      </c>
      <c r="H13" s="42" t="s">
        <v>0</v>
      </c>
      <c r="I13" s="42" t="s">
        <v>1</v>
      </c>
      <c r="J13" s="42" t="s">
        <v>70</v>
      </c>
      <c r="K13" s="42" t="s">
        <v>2</v>
      </c>
      <c r="L13" s="42" t="s">
        <v>293</v>
      </c>
      <c r="M13" s="42" t="s">
        <v>294</v>
      </c>
    </row>
    <row r="14" spans="1:13" ht="15" customHeight="1" x14ac:dyDescent="0.25">
      <c r="A14" s="107" t="s">
        <v>68</v>
      </c>
      <c r="B14" s="109">
        <v>25</v>
      </c>
      <c r="C14" s="83">
        <v>470</v>
      </c>
      <c r="D14" s="84">
        <v>1565.69</v>
      </c>
      <c r="E14" s="74"/>
      <c r="F14" s="74"/>
      <c r="H14" s="253" t="s">
        <v>6</v>
      </c>
      <c r="I14" s="247">
        <v>25</v>
      </c>
      <c r="J14" s="56">
        <v>430</v>
      </c>
      <c r="K14" s="57">
        <v>800.4</v>
      </c>
      <c r="L14" s="76"/>
      <c r="M14" s="76"/>
    </row>
    <row r="15" spans="1:13" ht="15" customHeight="1" x14ac:dyDescent="0.25">
      <c r="A15" s="44"/>
      <c r="H15" s="254"/>
      <c r="I15" s="248"/>
      <c r="J15" s="81">
        <v>470</v>
      </c>
      <c r="K15" s="82">
        <v>1858.53</v>
      </c>
      <c r="L15" s="76"/>
      <c r="M15" s="76"/>
    </row>
    <row r="16" spans="1:13" ht="15" customHeight="1" x14ac:dyDescent="0.25">
      <c r="A16" s="44"/>
      <c r="D16" s="4"/>
      <c r="H16" s="254"/>
      <c r="I16" s="248"/>
      <c r="J16" s="56">
        <v>540</v>
      </c>
      <c r="K16" s="57">
        <v>0</v>
      </c>
      <c r="L16" s="76"/>
      <c r="M16" s="76"/>
    </row>
    <row r="17" spans="1:13" ht="15" customHeight="1" x14ac:dyDescent="0.25">
      <c r="A17" s="44"/>
      <c r="H17" s="254"/>
      <c r="I17" s="248"/>
      <c r="J17" s="56">
        <v>560</v>
      </c>
      <c r="K17" s="57">
        <v>327.39999999999998</v>
      </c>
      <c r="L17" s="76"/>
      <c r="M17" s="76"/>
    </row>
    <row r="18" spans="1:13" ht="15" customHeight="1" x14ac:dyDescent="0.25">
      <c r="A18" s="44"/>
      <c r="H18" s="254"/>
      <c r="I18" s="248"/>
      <c r="J18" s="56">
        <v>574</v>
      </c>
      <c r="K18" s="57">
        <v>0</v>
      </c>
      <c r="L18" s="76"/>
      <c r="M18" s="76"/>
    </row>
    <row r="19" spans="1:13" ht="15" customHeight="1" x14ac:dyDescent="0.25">
      <c r="A19" s="51"/>
      <c r="H19" s="254"/>
      <c r="I19" s="248"/>
      <c r="J19" s="56">
        <v>580</v>
      </c>
      <c r="K19" s="57">
        <v>0</v>
      </c>
      <c r="L19" s="76"/>
      <c r="M19" s="76"/>
    </row>
    <row r="20" spans="1:13" ht="15" customHeight="1" x14ac:dyDescent="0.25">
      <c r="A20" s="44"/>
      <c r="H20" s="254"/>
      <c r="I20" s="248"/>
      <c r="J20" s="56">
        <v>674</v>
      </c>
      <c r="K20" s="57">
        <v>0</v>
      </c>
      <c r="L20" s="76"/>
      <c r="M20" s="76"/>
    </row>
    <row r="21" spans="1:13" ht="15" customHeight="1" x14ac:dyDescent="0.25">
      <c r="A21" s="51"/>
      <c r="H21" s="254"/>
      <c r="I21" s="248"/>
      <c r="J21" s="81">
        <v>700</v>
      </c>
      <c r="K21" s="82">
        <v>3376.84</v>
      </c>
      <c r="L21" s="76"/>
      <c r="M21" s="76"/>
    </row>
    <row r="22" spans="1:13" ht="15.75" customHeight="1" x14ac:dyDescent="0.25">
      <c r="A22" s="51"/>
      <c r="H22" s="254"/>
      <c r="I22" s="248"/>
      <c r="J22" s="56">
        <v>720</v>
      </c>
      <c r="K22" s="57">
        <v>548.6</v>
      </c>
      <c r="L22" s="76"/>
      <c r="M22" s="76"/>
    </row>
    <row r="23" spans="1:13" ht="15" customHeight="1" x14ac:dyDescent="0.25">
      <c r="A23" s="44"/>
      <c r="H23" s="254"/>
      <c r="I23" s="248"/>
      <c r="J23" s="56">
        <v>800</v>
      </c>
      <c r="K23" s="57">
        <v>296</v>
      </c>
      <c r="L23" s="76"/>
      <c r="M23" s="76"/>
    </row>
    <row r="24" spans="1:13" ht="15" customHeight="1" x14ac:dyDescent="0.25">
      <c r="A24" s="44"/>
      <c r="H24" s="254"/>
      <c r="I24" s="249"/>
      <c r="J24" s="56">
        <v>820</v>
      </c>
      <c r="K24" s="57">
        <v>2825.8</v>
      </c>
      <c r="L24" s="76"/>
      <c r="M24" s="76"/>
    </row>
    <row r="25" spans="1:13" ht="15" customHeight="1" x14ac:dyDescent="0.25">
      <c r="A25" s="51"/>
      <c r="H25" s="255"/>
      <c r="I25" s="108">
        <v>30</v>
      </c>
      <c r="J25" s="56">
        <v>430</v>
      </c>
      <c r="K25" s="57">
        <v>1256.8699999999999</v>
      </c>
      <c r="L25" s="76"/>
      <c r="M25" s="76"/>
    </row>
    <row r="26" spans="1:13" ht="15" customHeight="1" x14ac:dyDescent="0.25">
      <c r="A26" s="44"/>
    </row>
    <row r="27" spans="1:13" ht="15" customHeight="1" x14ac:dyDescent="0.25">
      <c r="A27" s="51"/>
    </row>
    <row r="28" spans="1:13" ht="15" customHeight="1" x14ac:dyDescent="0.25">
      <c r="A28" s="51"/>
      <c r="B28" s="4"/>
    </row>
    <row r="29" spans="1:13" ht="15" customHeight="1" x14ac:dyDescent="0.25">
      <c r="A29" s="51"/>
    </row>
    <row r="30" spans="1:13" ht="15" customHeight="1" x14ac:dyDescent="0.25">
      <c r="A30" s="51"/>
    </row>
    <row r="31" spans="1:13" ht="15" customHeight="1" x14ac:dyDescent="0.25">
      <c r="A31" s="44"/>
    </row>
    <row r="32" spans="1:13" ht="15" customHeight="1" x14ac:dyDescent="0.25">
      <c r="A32" s="51"/>
    </row>
    <row r="33" spans="1:8" ht="15" customHeight="1" x14ac:dyDescent="0.25">
      <c r="A33" s="51"/>
    </row>
    <row r="34" spans="1:8" ht="15" customHeight="1" x14ac:dyDescent="0.25"/>
    <row r="35" spans="1:8" ht="15" customHeight="1" x14ac:dyDescent="0.25">
      <c r="A35" s="100"/>
      <c r="B35" s="101"/>
      <c r="C35" s="102"/>
      <c r="D35" s="102"/>
    </row>
    <row r="36" spans="1:8" ht="15" customHeight="1" x14ac:dyDescent="0.25">
      <c r="A36" s="100"/>
      <c r="B36" s="101"/>
      <c r="C36" s="102"/>
      <c r="D36" s="102"/>
    </row>
    <row r="37" spans="1:8" ht="15" customHeight="1" x14ac:dyDescent="0.25">
      <c r="A37" s="100"/>
      <c r="B37" s="101"/>
      <c r="C37" s="102"/>
      <c r="D37" s="102"/>
    </row>
    <row r="38" spans="1:8" ht="15" customHeight="1" x14ac:dyDescent="0.25">
      <c r="A38" s="100"/>
      <c r="B38" s="101"/>
      <c r="C38" s="102"/>
      <c r="D38" s="102"/>
    </row>
    <row r="39" spans="1:8" ht="15" customHeight="1" x14ac:dyDescent="0.25"/>
    <row r="40" spans="1:8" ht="15.75" customHeight="1" x14ac:dyDescent="0.25"/>
    <row r="41" spans="1:8" ht="15" customHeight="1" x14ac:dyDescent="0.25"/>
    <row r="42" spans="1:8" ht="15" customHeight="1" x14ac:dyDescent="0.25">
      <c r="A42" s="95"/>
      <c r="B42" s="96"/>
      <c r="C42" s="97"/>
      <c r="D42" s="98"/>
      <c r="E42" s="99"/>
      <c r="F42" s="99"/>
      <c r="G42" s="44"/>
    </row>
    <row r="43" spans="1:8" ht="15" customHeight="1" x14ac:dyDescent="0.25">
      <c r="G43" s="51"/>
    </row>
    <row r="44" spans="1:8" ht="15" customHeight="1" x14ac:dyDescent="0.25">
      <c r="G44" s="51"/>
    </row>
    <row r="45" spans="1:8" ht="15" customHeight="1" x14ac:dyDescent="0.25">
      <c r="A45" s="44"/>
      <c r="B45" s="44"/>
      <c r="C45" s="44"/>
      <c r="D45" s="44"/>
      <c r="E45" s="44"/>
      <c r="F45" s="44"/>
      <c r="G45" s="50"/>
    </row>
    <row r="46" spans="1:8" ht="15" customHeight="1" x14ac:dyDescent="0.25">
      <c r="G46" s="51"/>
      <c r="H46" s="4"/>
    </row>
    <row r="47" spans="1:8" ht="15" customHeight="1" x14ac:dyDescent="0.25">
      <c r="G47" s="44"/>
    </row>
    <row r="48" spans="1:8" ht="15" customHeight="1" x14ac:dyDescent="0.25">
      <c r="G48" s="44"/>
    </row>
    <row r="49" spans="7:14" ht="15" customHeight="1" x14ac:dyDescent="0.25">
      <c r="G49" s="44"/>
    </row>
    <row r="50" spans="7:14" ht="15" customHeight="1" x14ac:dyDescent="0.25">
      <c r="G50" s="44"/>
    </row>
    <row r="51" spans="7:14" ht="15" customHeight="1" x14ac:dyDescent="0.25">
      <c r="G51" s="44"/>
    </row>
    <row r="52" spans="7:14" ht="15" customHeight="1" x14ac:dyDescent="0.25">
      <c r="G52" s="44"/>
    </row>
    <row r="53" spans="7:14" ht="15" customHeight="1" x14ac:dyDescent="0.25">
      <c r="G53" s="51"/>
    </row>
    <row r="54" spans="7:14" ht="15" customHeight="1" x14ac:dyDescent="0.25">
      <c r="G54" s="51"/>
    </row>
    <row r="55" spans="7:14" ht="15" customHeight="1" x14ac:dyDescent="0.25">
      <c r="G55" s="51"/>
    </row>
    <row r="56" spans="7:14" ht="15" customHeight="1" x14ac:dyDescent="0.25">
      <c r="G56" s="51"/>
    </row>
    <row r="57" spans="7:14" ht="15" customHeight="1" x14ac:dyDescent="0.25">
      <c r="G57" s="51"/>
    </row>
    <row r="58" spans="7:14" ht="15" customHeight="1" x14ac:dyDescent="0.25">
      <c r="G58" s="51"/>
    </row>
    <row r="59" spans="7:14" ht="15" customHeight="1" x14ac:dyDescent="0.25">
      <c r="G59" s="51"/>
    </row>
    <row r="60" spans="7:14" ht="15" customHeight="1" x14ac:dyDescent="0.25">
      <c r="G60" s="51"/>
      <c r="H60" s="4"/>
      <c r="N60" s="15"/>
    </row>
    <row r="61" spans="7:14" ht="15" customHeight="1" x14ac:dyDescent="0.25">
      <c r="G61" s="51"/>
    </row>
    <row r="62" spans="7:14" ht="15" customHeight="1" x14ac:dyDescent="0.25">
      <c r="G62" s="51"/>
    </row>
    <row r="63" spans="7:14" ht="15" customHeight="1" x14ac:dyDescent="0.25">
      <c r="G63" s="51"/>
    </row>
    <row r="64" spans="7:14" ht="15" customHeight="1" x14ac:dyDescent="0.25">
      <c r="G64" s="51"/>
    </row>
    <row r="65" spans="2:14" ht="15" customHeight="1" x14ac:dyDescent="0.25">
      <c r="G65" s="51"/>
    </row>
    <row r="66" spans="2:14" ht="15" customHeight="1" x14ac:dyDescent="0.25">
      <c r="G66" s="51"/>
    </row>
    <row r="67" spans="2:14" ht="15" customHeight="1" x14ac:dyDescent="0.25">
      <c r="G67" s="51"/>
      <c r="N67" s="4"/>
    </row>
    <row r="68" spans="2:14" ht="15" customHeight="1" x14ac:dyDescent="0.25">
      <c r="B68" s="51"/>
    </row>
    <row r="69" spans="2:14" ht="15" customHeight="1" x14ac:dyDescent="0.25">
      <c r="B69" s="51"/>
    </row>
    <row r="70" spans="2:14" ht="15" customHeight="1" x14ac:dyDescent="0.25">
      <c r="B70" s="44"/>
    </row>
    <row r="71" spans="2:14" ht="15" customHeight="1" x14ac:dyDescent="0.25">
      <c r="B71" s="44"/>
    </row>
    <row r="72" spans="2:14" ht="15" customHeight="1" x14ac:dyDescent="0.25">
      <c r="B72" s="51"/>
    </row>
    <row r="73" spans="2:14" ht="15" customHeight="1" x14ac:dyDescent="0.25">
      <c r="B73" s="51"/>
    </row>
    <row r="74" spans="2:14" ht="15" customHeight="1" x14ac:dyDescent="0.25">
      <c r="B74" s="44"/>
    </row>
    <row r="75" spans="2:14" ht="17.25" customHeight="1" x14ac:dyDescent="0.25">
      <c r="B75" s="44"/>
    </row>
    <row r="76" spans="2:14" ht="15" customHeight="1" x14ac:dyDescent="0.25">
      <c r="B76" s="51"/>
    </row>
    <row r="77" spans="2:14" ht="15" customHeight="1" x14ac:dyDescent="0.25">
      <c r="B77" s="51"/>
    </row>
    <row r="78" spans="2:14" ht="15" customHeight="1" x14ac:dyDescent="0.25">
      <c r="B78" s="51"/>
    </row>
    <row r="79" spans="2:14" ht="15" customHeight="1" x14ac:dyDescent="0.25">
      <c r="B79" s="51"/>
    </row>
    <row r="80" spans="2:14" ht="15" customHeight="1" x14ac:dyDescent="0.25">
      <c r="G80" s="44"/>
    </row>
    <row r="81" spans="7:7" x14ac:dyDescent="0.25">
      <c r="G81" s="44"/>
    </row>
    <row r="82" spans="7:7" ht="15" customHeight="1" x14ac:dyDescent="0.25">
      <c r="G82" s="44"/>
    </row>
    <row r="83" spans="7:7" x14ac:dyDescent="0.25">
      <c r="G83" s="44"/>
    </row>
    <row r="84" spans="7:7" x14ac:dyDescent="0.25">
      <c r="G84" s="44"/>
    </row>
    <row r="85" spans="7:7" ht="15" customHeight="1" x14ac:dyDescent="0.25">
      <c r="G85" s="44"/>
    </row>
    <row r="86" spans="7:7" ht="15" customHeight="1" x14ac:dyDescent="0.25">
      <c r="G86" s="44"/>
    </row>
    <row r="87" spans="7:7" ht="15" customHeight="1" x14ac:dyDescent="0.25">
      <c r="G87" s="44"/>
    </row>
    <row r="88" spans="7:7" ht="15" customHeight="1" x14ac:dyDescent="0.25">
      <c r="G88" s="44"/>
    </row>
    <row r="89" spans="7:7" ht="12" customHeight="1" x14ac:dyDescent="0.25">
      <c r="G89" s="44"/>
    </row>
    <row r="90" spans="7:7" ht="15" customHeight="1" x14ac:dyDescent="0.25">
      <c r="G90" s="45"/>
    </row>
    <row r="91" spans="7:7" ht="15" customHeight="1" x14ac:dyDescent="0.25">
      <c r="G91" s="50"/>
    </row>
    <row r="92" spans="7:7" ht="15" customHeight="1" x14ac:dyDescent="0.25">
      <c r="G92" s="50"/>
    </row>
    <row r="93" spans="7:7" ht="13.5" customHeight="1" x14ac:dyDescent="0.25">
      <c r="G93" s="45"/>
    </row>
    <row r="94" spans="7:7" ht="12.75" customHeight="1" x14ac:dyDescent="0.25">
      <c r="G94" s="50"/>
    </row>
    <row r="95" spans="7:7" ht="13.5" customHeight="1" x14ac:dyDescent="0.25">
      <c r="G95" s="45"/>
    </row>
    <row r="96" spans="7:7" ht="12.75" customHeight="1" x14ac:dyDescent="0.25">
      <c r="G96" s="45"/>
    </row>
    <row r="97" spans="7:7" ht="12.75" customHeight="1" x14ac:dyDescent="0.25">
      <c r="G97" s="45"/>
    </row>
    <row r="98" spans="7:7" ht="12" customHeight="1" x14ac:dyDescent="0.25">
      <c r="G98" s="50"/>
    </row>
    <row r="99" spans="7:7" ht="12" customHeight="1" x14ac:dyDescent="0.25">
      <c r="G99" s="50"/>
    </row>
    <row r="100" spans="7:7" ht="12.75" customHeight="1" x14ac:dyDescent="0.25">
      <c r="G100" s="45"/>
    </row>
    <row r="101" spans="7:7" ht="12.75" customHeight="1" x14ac:dyDescent="0.25">
      <c r="G101" s="45"/>
    </row>
    <row r="102" spans="7:7" ht="12" customHeight="1" x14ac:dyDescent="0.25">
      <c r="G102" s="45"/>
    </row>
  </sheetData>
  <mergeCells count="4">
    <mergeCell ref="H14:H25"/>
    <mergeCell ref="I14:I24"/>
    <mergeCell ref="H7:H8"/>
    <mergeCell ref="A4:M4"/>
  </mergeCells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5:H51"/>
  <sheetViews>
    <sheetView showGridLines="0" view="pageLayout" zoomScaleNormal="100" workbookViewId="0">
      <selection activeCell="C42" sqref="C42"/>
    </sheetView>
  </sheetViews>
  <sheetFormatPr baseColWidth="10" defaultRowHeight="15" x14ac:dyDescent="0.25"/>
  <cols>
    <col min="1" max="1" width="26" style="1" customWidth="1"/>
    <col min="2" max="2" width="13" style="1" customWidth="1"/>
    <col min="3" max="3" width="11.42578125" style="1"/>
    <col min="4" max="4" width="4.85546875" style="1" bestFit="1" customWidth="1"/>
    <col min="5" max="5" width="18.7109375" style="1" customWidth="1"/>
    <col min="6" max="6" width="11.42578125" style="1"/>
    <col min="7" max="7" width="10.85546875" style="1" customWidth="1"/>
    <col min="8" max="16384" width="11.42578125" style="1"/>
  </cols>
  <sheetData>
    <row r="5" spans="1:8" ht="6.75" customHeight="1" x14ac:dyDescent="0.25"/>
    <row r="6" spans="1:8" ht="16.5" customHeight="1" x14ac:dyDescent="0.25">
      <c r="A6" s="256" t="s">
        <v>532</v>
      </c>
      <c r="B6" s="256"/>
      <c r="C6" s="256"/>
      <c r="D6" s="256"/>
      <c r="E6" s="256"/>
      <c r="F6" s="256"/>
      <c r="G6" s="203">
        <v>46073</v>
      </c>
    </row>
    <row r="7" spans="1:8" x14ac:dyDescent="0.25">
      <c r="A7" s="259" t="s">
        <v>412</v>
      </c>
      <c r="B7" s="260"/>
      <c r="C7" s="261"/>
      <c r="E7" s="259" t="s">
        <v>11</v>
      </c>
      <c r="F7" s="260"/>
      <c r="G7" s="261"/>
    </row>
    <row r="8" spans="1:8" x14ac:dyDescent="0.25">
      <c r="A8" s="154" t="s">
        <v>25</v>
      </c>
      <c r="B8" s="154" t="s">
        <v>26</v>
      </c>
      <c r="C8" s="154" t="s">
        <v>2</v>
      </c>
      <c r="E8" s="154" t="s">
        <v>25</v>
      </c>
      <c r="F8" s="154" t="s">
        <v>26</v>
      </c>
      <c r="G8" s="154" t="s">
        <v>2</v>
      </c>
    </row>
    <row r="9" spans="1:8" x14ac:dyDescent="0.25">
      <c r="A9" s="2" t="s">
        <v>28</v>
      </c>
      <c r="B9" s="153" t="s">
        <v>27</v>
      </c>
      <c r="C9" s="155">
        <v>987</v>
      </c>
      <c r="D9" s="12"/>
      <c r="E9" s="2" t="s">
        <v>61</v>
      </c>
      <c r="F9" s="153" t="s">
        <v>200</v>
      </c>
      <c r="G9" s="200">
        <v>705.4</v>
      </c>
      <c r="H9" s="12"/>
    </row>
    <row r="10" spans="1:8" x14ac:dyDescent="0.25">
      <c r="A10" s="2" t="s">
        <v>484</v>
      </c>
      <c r="B10" s="163" t="s">
        <v>485</v>
      </c>
      <c r="C10" s="174">
        <v>0</v>
      </c>
      <c r="D10" s="12"/>
      <c r="E10" s="2" t="s">
        <v>60</v>
      </c>
      <c r="F10" s="153" t="s">
        <v>197</v>
      </c>
      <c r="G10" s="197">
        <v>141</v>
      </c>
      <c r="H10" s="12"/>
    </row>
    <row r="11" spans="1:8" x14ac:dyDescent="0.25">
      <c r="A11" s="257" t="s">
        <v>29</v>
      </c>
      <c r="B11" s="153" t="s">
        <v>30</v>
      </c>
      <c r="C11" s="175">
        <v>221</v>
      </c>
      <c r="D11" s="12"/>
      <c r="E11" s="2" t="s">
        <v>62</v>
      </c>
      <c r="F11" s="153" t="s">
        <v>76</v>
      </c>
      <c r="G11" s="202">
        <v>250</v>
      </c>
      <c r="H11" s="12"/>
    </row>
    <row r="12" spans="1:8" x14ac:dyDescent="0.25">
      <c r="A12" s="258"/>
      <c r="B12" s="163" t="s">
        <v>487</v>
      </c>
      <c r="C12" s="175">
        <v>0</v>
      </c>
      <c r="D12" s="12"/>
      <c r="E12" s="170" t="s">
        <v>62</v>
      </c>
      <c r="F12" s="171" t="s">
        <v>502</v>
      </c>
      <c r="G12" s="149">
        <v>0</v>
      </c>
      <c r="H12" s="12"/>
    </row>
    <row r="13" spans="1:8" x14ac:dyDescent="0.25">
      <c r="A13" s="257" t="s">
        <v>195</v>
      </c>
      <c r="B13" s="153" t="s">
        <v>196</v>
      </c>
      <c r="C13" s="176">
        <v>76</v>
      </c>
      <c r="D13" s="12"/>
      <c r="E13" s="2" t="s">
        <v>63</v>
      </c>
      <c r="F13" s="153" t="s">
        <v>243</v>
      </c>
      <c r="G13" s="200">
        <v>221</v>
      </c>
      <c r="H13" s="12"/>
    </row>
    <row r="14" spans="1:8" x14ac:dyDescent="0.25">
      <c r="A14" s="258"/>
      <c r="B14" s="167" t="s">
        <v>494</v>
      </c>
      <c r="C14" s="176">
        <v>0</v>
      </c>
      <c r="D14" s="12"/>
      <c r="E14" s="2" t="s">
        <v>257</v>
      </c>
      <c r="F14" s="153" t="s">
        <v>244</v>
      </c>
      <c r="G14" s="153">
        <v>30</v>
      </c>
      <c r="H14" s="12"/>
    </row>
    <row r="15" spans="1:8" x14ac:dyDescent="0.25">
      <c r="A15" s="257" t="s">
        <v>31</v>
      </c>
      <c r="B15" s="153" t="s">
        <v>32</v>
      </c>
      <c r="C15" s="192">
        <v>992</v>
      </c>
      <c r="D15" s="12"/>
      <c r="E15" s="2" t="s">
        <v>298</v>
      </c>
      <c r="F15" s="153" t="s">
        <v>299</v>
      </c>
      <c r="G15" s="196">
        <v>221</v>
      </c>
      <c r="H15" s="12"/>
    </row>
    <row r="16" spans="1:8" x14ac:dyDescent="0.25">
      <c r="A16" s="258"/>
      <c r="B16" s="167" t="s">
        <v>491</v>
      </c>
      <c r="C16" s="177">
        <v>0</v>
      </c>
      <c r="D16" s="12"/>
      <c r="E16" s="2" t="s">
        <v>413</v>
      </c>
      <c r="F16" s="153" t="s">
        <v>414</v>
      </c>
      <c r="G16" s="197">
        <v>17</v>
      </c>
      <c r="H16" s="12"/>
    </row>
    <row r="17" spans="1:8" x14ac:dyDescent="0.25">
      <c r="A17" s="2" t="s">
        <v>252</v>
      </c>
      <c r="B17" s="153" t="s">
        <v>33</v>
      </c>
      <c r="C17" s="178">
        <v>71.2</v>
      </c>
      <c r="D17" s="12"/>
      <c r="E17" s="2" t="s">
        <v>64</v>
      </c>
      <c r="F17" s="153" t="s">
        <v>242</v>
      </c>
      <c r="G17" s="148">
        <v>357</v>
      </c>
      <c r="H17" s="12"/>
    </row>
    <row r="18" spans="1:8" x14ac:dyDescent="0.25">
      <c r="A18" s="2" t="s">
        <v>489</v>
      </c>
      <c r="B18" s="165" t="s">
        <v>490</v>
      </c>
      <c r="C18" s="178">
        <v>18</v>
      </c>
      <c r="D18" s="12"/>
      <c r="E18" s="2" t="s">
        <v>308</v>
      </c>
      <c r="F18" s="164" t="s">
        <v>488</v>
      </c>
      <c r="G18" s="148">
        <v>0</v>
      </c>
      <c r="H18" s="12"/>
    </row>
    <row r="19" spans="1:8" x14ac:dyDescent="0.25">
      <c r="A19" s="2" t="s">
        <v>317</v>
      </c>
      <c r="B19" s="153" t="s">
        <v>314</v>
      </c>
      <c r="C19" s="175">
        <v>195.4</v>
      </c>
      <c r="D19" s="12"/>
      <c r="E19" s="2" t="s">
        <v>252</v>
      </c>
      <c r="F19" s="153" t="s">
        <v>198</v>
      </c>
      <c r="G19" s="199">
        <v>87</v>
      </c>
      <c r="H19" s="12"/>
    </row>
    <row r="20" spans="1:8" x14ac:dyDescent="0.25">
      <c r="A20" s="2" t="s">
        <v>34</v>
      </c>
      <c r="B20" s="153" t="s">
        <v>35</v>
      </c>
      <c r="C20" s="175">
        <v>355</v>
      </c>
      <c r="D20" s="12"/>
      <c r="E20" s="2" t="s">
        <v>42</v>
      </c>
      <c r="F20" s="153" t="s">
        <v>249</v>
      </c>
      <c r="G20" s="188">
        <v>150</v>
      </c>
      <c r="H20" s="12"/>
    </row>
    <row r="21" spans="1:8" x14ac:dyDescent="0.25">
      <c r="A21" s="257" t="s">
        <v>36</v>
      </c>
      <c r="B21" s="153" t="s">
        <v>37</v>
      </c>
      <c r="C21" s="175">
        <v>156</v>
      </c>
      <c r="D21" s="12"/>
      <c r="E21" s="40" t="s">
        <v>51</v>
      </c>
      <c r="F21" s="153" t="s">
        <v>289</v>
      </c>
      <c r="G21" s="169">
        <v>104</v>
      </c>
      <c r="H21" s="12"/>
    </row>
    <row r="22" spans="1:8" x14ac:dyDescent="0.25">
      <c r="A22" s="258"/>
      <c r="B22" s="163" t="s">
        <v>486</v>
      </c>
      <c r="C22" s="175">
        <v>18</v>
      </c>
      <c r="D22" s="12"/>
      <c r="E22" s="40" t="s">
        <v>290</v>
      </c>
      <c r="F22" s="153" t="s">
        <v>291</v>
      </c>
      <c r="G22" s="193">
        <v>218</v>
      </c>
      <c r="H22" s="12"/>
    </row>
    <row r="23" spans="1:8" x14ac:dyDescent="0.25">
      <c r="A23" s="2" t="s">
        <v>255</v>
      </c>
      <c r="B23" s="153" t="s">
        <v>202</v>
      </c>
      <c r="C23" s="175">
        <v>198</v>
      </c>
      <c r="D23" s="12"/>
      <c r="G23" s="147"/>
    </row>
    <row r="24" spans="1:8" x14ac:dyDescent="0.25">
      <c r="A24" s="2" t="s">
        <v>256</v>
      </c>
      <c r="B24" s="153" t="s">
        <v>201</v>
      </c>
      <c r="C24" s="175">
        <v>0</v>
      </c>
      <c r="D24" s="12"/>
      <c r="E24" s="259" t="s">
        <v>448</v>
      </c>
      <c r="F24" s="260"/>
      <c r="G24" s="261"/>
    </row>
    <row r="25" spans="1:8" x14ac:dyDescent="0.25">
      <c r="A25" s="2" t="s">
        <v>528</v>
      </c>
      <c r="B25" s="198" t="s">
        <v>529</v>
      </c>
      <c r="C25" s="175">
        <v>0</v>
      </c>
      <c r="D25" s="12"/>
      <c r="E25" s="154" t="s">
        <v>25</v>
      </c>
      <c r="F25" s="154" t="s">
        <v>26</v>
      </c>
      <c r="G25" s="154" t="s">
        <v>2</v>
      </c>
    </row>
    <row r="26" spans="1:8" x14ac:dyDescent="0.25">
      <c r="A26" s="2" t="s">
        <v>38</v>
      </c>
      <c r="B26" s="153" t="s">
        <v>39</v>
      </c>
      <c r="C26" s="175">
        <v>272</v>
      </c>
      <c r="D26" s="12"/>
      <c r="E26" s="2" t="s">
        <v>61</v>
      </c>
      <c r="F26" s="153" t="s">
        <v>423</v>
      </c>
      <c r="G26" s="153">
        <v>20</v>
      </c>
    </row>
    <row r="27" spans="1:8" x14ac:dyDescent="0.25">
      <c r="A27" s="16" t="s">
        <v>306</v>
      </c>
      <c r="B27" s="17" t="s">
        <v>307</v>
      </c>
      <c r="C27" s="175">
        <v>54</v>
      </c>
      <c r="D27" s="12"/>
    </row>
    <row r="28" spans="1:8" x14ac:dyDescent="0.25">
      <c r="A28" s="2" t="s">
        <v>40</v>
      </c>
      <c r="B28" s="153" t="s">
        <v>41</v>
      </c>
      <c r="C28" s="175">
        <v>201</v>
      </c>
      <c r="D28" s="12"/>
    </row>
    <row r="29" spans="1:8" x14ac:dyDescent="0.25">
      <c r="A29" s="2" t="s">
        <v>526</v>
      </c>
      <c r="B29" s="198" t="s">
        <v>527</v>
      </c>
      <c r="C29" s="175">
        <v>0</v>
      </c>
      <c r="D29" s="12"/>
    </row>
    <row r="30" spans="1:8" x14ac:dyDescent="0.25">
      <c r="A30" s="2" t="s">
        <v>42</v>
      </c>
      <c r="B30" s="153" t="s">
        <v>269</v>
      </c>
      <c r="C30" s="175">
        <v>68</v>
      </c>
      <c r="D30" s="12"/>
    </row>
    <row r="31" spans="1:8" x14ac:dyDescent="0.25">
      <c r="A31" s="2" t="s">
        <v>49</v>
      </c>
      <c r="B31" s="153" t="s">
        <v>50</v>
      </c>
      <c r="C31" s="175">
        <v>322.2</v>
      </c>
      <c r="D31" s="12"/>
    </row>
    <row r="32" spans="1:8" x14ac:dyDescent="0.25">
      <c r="A32" s="257" t="s">
        <v>492</v>
      </c>
      <c r="B32" s="153" t="s">
        <v>44</v>
      </c>
      <c r="C32" s="201">
        <v>84.9</v>
      </c>
      <c r="D32" s="12"/>
    </row>
    <row r="33" spans="1:4" x14ac:dyDescent="0.25">
      <c r="A33" s="258"/>
      <c r="B33" s="167" t="s">
        <v>493</v>
      </c>
      <c r="C33" s="187">
        <v>36</v>
      </c>
      <c r="D33" s="12"/>
    </row>
    <row r="34" spans="1:4" x14ac:dyDescent="0.25">
      <c r="A34" s="2" t="s">
        <v>258</v>
      </c>
      <c r="B34" s="153" t="s">
        <v>259</v>
      </c>
      <c r="C34" s="168">
        <v>57</v>
      </c>
      <c r="D34" s="12"/>
    </row>
    <row r="35" spans="1:4" x14ac:dyDescent="0.25">
      <c r="A35" s="2" t="s">
        <v>260</v>
      </c>
      <c r="B35" s="153" t="s">
        <v>261</v>
      </c>
      <c r="C35" s="168">
        <v>54</v>
      </c>
      <c r="D35" s="12"/>
    </row>
    <row r="36" spans="1:4" x14ac:dyDescent="0.25">
      <c r="A36" s="2" t="s">
        <v>51</v>
      </c>
      <c r="B36" s="153" t="s">
        <v>72</v>
      </c>
      <c r="C36" s="194">
        <v>34</v>
      </c>
      <c r="D36" s="12"/>
    </row>
    <row r="37" spans="1:4" x14ac:dyDescent="0.25">
      <c r="A37" s="2" t="s">
        <v>253</v>
      </c>
      <c r="B37" s="153" t="s">
        <v>254</v>
      </c>
      <c r="C37" s="168">
        <v>31</v>
      </c>
      <c r="D37" s="12"/>
    </row>
    <row r="38" spans="1:4" x14ac:dyDescent="0.25">
      <c r="A38" s="2" t="s">
        <v>47</v>
      </c>
      <c r="B38" s="153" t="s">
        <v>48</v>
      </c>
      <c r="C38" s="199">
        <v>89</v>
      </c>
      <c r="D38" s="12"/>
    </row>
    <row r="39" spans="1:4" x14ac:dyDescent="0.25">
      <c r="A39" s="2" t="s">
        <v>279</v>
      </c>
      <c r="B39" s="153" t="s">
        <v>280</v>
      </c>
      <c r="C39" s="168">
        <v>18</v>
      </c>
      <c r="D39" s="12"/>
    </row>
    <row r="40" spans="1:4" x14ac:dyDescent="0.25">
      <c r="A40" s="2" t="s">
        <v>52</v>
      </c>
      <c r="B40" s="153" t="s">
        <v>53</v>
      </c>
      <c r="C40" s="168">
        <v>34</v>
      </c>
      <c r="D40" s="12"/>
    </row>
    <row r="41" spans="1:4" x14ac:dyDescent="0.25">
      <c r="A41" s="2" t="s">
        <v>54</v>
      </c>
      <c r="B41" s="153" t="s">
        <v>55</v>
      </c>
      <c r="C41" s="168">
        <v>70</v>
      </c>
      <c r="D41" s="12"/>
    </row>
    <row r="42" spans="1:4" x14ac:dyDescent="0.25">
      <c r="A42" s="2" t="s">
        <v>73</v>
      </c>
      <c r="B42" s="153" t="s">
        <v>56</v>
      </c>
      <c r="C42" s="168">
        <v>80</v>
      </c>
      <c r="D42" s="12"/>
    </row>
    <row r="43" spans="1:4" x14ac:dyDescent="0.25">
      <c r="A43" s="2" t="s">
        <v>74</v>
      </c>
      <c r="B43" s="153">
        <v>2042</v>
      </c>
      <c r="C43" s="168">
        <v>66</v>
      </c>
      <c r="D43" s="12"/>
    </row>
    <row r="44" spans="1:4" x14ac:dyDescent="0.25">
      <c r="A44" s="2" t="s">
        <v>57</v>
      </c>
      <c r="B44" s="153" t="s">
        <v>58</v>
      </c>
      <c r="C44" s="168">
        <v>133.6</v>
      </c>
      <c r="D44" s="12"/>
    </row>
    <row r="45" spans="1:4" x14ac:dyDescent="0.25">
      <c r="A45" s="2" t="s">
        <v>530</v>
      </c>
      <c r="B45" s="198" t="s">
        <v>531</v>
      </c>
      <c r="C45" s="198">
        <v>28.8</v>
      </c>
    </row>
    <row r="46" spans="1:4" x14ac:dyDescent="0.25">
      <c r="A46" s="2" t="s">
        <v>75</v>
      </c>
      <c r="B46" s="153" t="s">
        <v>59</v>
      </c>
      <c r="C46" s="168">
        <v>68</v>
      </c>
    </row>
    <row r="47" spans="1:4" x14ac:dyDescent="0.25">
      <c r="A47" s="16" t="s">
        <v>250</v>
      </c>
      <c r="B47" s="17" t="s">
        <v>251</v>
      </c>
      <c r="C47" s="168">
        <v>18</v>
      </c>
    </row>
    <row r="48" spans="1:4" x14ac:dyDescent="0.25">
      <c r="A48" s="16" t="s">
        <v>78</v>
      </c>
      <c r="B48" s="17" t="s">
        <v>79</v>
      </c>
      <c r="C48" s="168">
        <v>0</v>
      </c>
    </row>
    <row r="49" spans="1:3" x14ac:dyDescent="0.25">
      <c r="A49" s="16" t="s">
        <v>301</v>
      </c>
      <c r="B49" s="17" t="s">
        <v>302</v>
      </c>
      <c r="C49" s="168">
        <v>0</v>
      </c>
    </row>
    <row r="50" spans="1:3" x14ac:dyDescent="0.25">
      <c r="A50" s="16" t="s">
        <v>517</v>
      </c>
      <c r="B50" s="17" t="s">
        <v>518</v>
      </c>
      <c r="C50" s="189">
        <v>0</v>
      </c>
    </row>
    <row r="51" spans="1:3" x14ac:dyDescent="0.25">
      <c r="A51" s="16" t="s">
        <v>304</v>
      </c>
      <c r="B51" s="17" t="s">
        <v>305</v>
      </c>
      <c r="C51" s="168">
        <v>0</v>
      </c>
    </row>
  </sheetData>
  <mergeCells count="9">
    <mergeCell ref="A6:F6"/>
    <mergeCell ref="A32:A33"/>
    <mergeCell ref="A13:A14"/>
    <mergeCell ref="A7:C7"/>
    <mergeCell ref="E7:G7"/>
    <mergeCell ref="E24:G24"/>
    <mergeCell ref="A11:A12"/>
    <mergeCell ref="A21:A22"/>
    <mergeCell ref="A15:A16"/>
  </mergeCells>
  <conditionalFormatting sqref="G9">
    <cfRule type="cellIs" dxfId="69" priority="80" operator="lessThan">
      <formula>500</formula>
    </cfRule>
  </conditionalFormatting>
  <conditionalFormatting sqref="G11:G12">
    <cfRule type="cellIs" dxfId="68" priority="79" operator="lessThan">
      <formula>200</formula>
    </cfRule>
  </conditionalFormatting>
  <conditionalFormatting sqref="G17:G18">
    <cfRule type="cellIs" dxfId="67" priority="72" operator="lessThan">
      <formula>200</formula>
    </cfRule>
    <cfRule type="cellIs" dxfId="66" priority="73" operator="lessThan">
      <formula>200</formula>
    </cfRule>
    <cfRule type="cellIs" dxfId="65" priority="74" operator="lessThan">
      <formula>200</formula>
    </cfRule>
    <cfRule type="cellIs" dxfId="64" priority="78" operator="lessThan">
      <formula>500</formula>
    </cfRule>
  </conditionalFormatting>
  <conditionalFormatting sqref="G13">
    <cfRule type="cellIs" dxfId="63" priority="77" operator="lessThan">
      <formula>200</formula>
    </cfRule>
  </conditionalFormatting>
  <conditionalFormatting sqref="G16">
    <cfRule type="cellIs" dxfId="62" priority="75" operator="lessThan">
      <formula>200</formula>
    </cfRule>
    <cfRule type="cellIs" dxfId="61" priority="76" operator="lessThan">
      <formula>36</formula>
    </cfRule>
  </conditionalFormatting>
  <conditionalFormatting sqref="G19">
    <cfRule type="cellIs" dxfId="60" priority="71" operator="lessThan">
      <formula>90</formula>
    </cfRule>
  </conditionalFormatting>
  <conditionalFormatting sqref="G22">
    <cfRule type="cellIs" dxfId="59" priority="70" operator="lessThan">
      <formula>36</formula>
    </cfRule>
  </conditionalFormatting>
  <conditionalFormatting sqref="G21">
    <cfRule type="cellIs" dxfId="58" priority="69" operator="lessThan">
      <formula>36</formula>
    </cfRule>
  </conditionalFormatting>
  <conditionalFormatting sqref="C10">
    <cfRule type="cellIs" dxfId="57" priority="26" operator="lessThan">
      <formula>500</formula>
    </cfRule>
  </conditionalFormatting>
  <conditionalFormatting sqref="C22 C18">
    <cfRule type="cellIs" dxfId="56" priority="25" operator="lessThan">
      <formula>200</formula>
    </cfRule>
  </conditionalFormatting>
  <conditionalFormatting sqref="C12">
    <cfRule type="cellIs" dxfId="55" priority="24" operator="lessThan">
      <formula>36</formula>
    </cfRule>
  </conditionalFormatting>
  <conditionalFormatting sqref="C38">
    <cfRule type="cellIs" dxfId="54" priority="11" operator="lessThan">
      <formula>36</formula>
    </cfRule>
  </conditionalFormatting>
  <conditionalFormatting sqref="C9">
    <cfRule type="cellIs" dxfId="53" priority="23" operator="lessThan">
      <formula>500</formula>
    </cfRule>
  </conditionalFormatting>
  <conditionalFormatting sqref="C20">
    <cfRule type="cellIs" dxfId="52" priority="21" operator="lessThan">
      <formula>200</formula>
    </cfRule>
  </conditionalFormatting>
  <conditionalFormatting sqref="C21">
    <cfRule type="cellIs" dxfId="51" priority="20" operator="lessThan">
      <formula>200</formula>
    </cfRule>
  </conditionalFormatting>
  <conditionalFormatting sqref="C26">
    <cfRule type="cellIs" dxfId="50" priority="19" operator="lessThan">
      <formula>200</formula>
    </cfRule>
  </conditionalFormatting>
  <conditionalFormatting sqref="C32">
    <cfRule type="cellIs" dxfId="49" priority="18" operator="lessThan">
      <formula>100</formula>
    </cfRule>
  </conditionalFormatting>
  <conditionalFormatting sqref="C11">
    <cfRule type="cellIs" dxfId="48" priority="17" operator="lessThan">
      <formula>36</formula>
    </cfRule>
  </conditionalFormatting>
  <conditionalFormatting sqref="C30">
    <cfRule type="cellIs" dxfId="47" priority="16" operator="lessThan">
      <formula>54</formula>
    </cfRule>
  </conditionalFormatting>
  <conditionalFormatting sqref="C31">
    <cfRule type="cellIs" dxfId="46" priority="15" operator="lessThan">
      <formula>100</formula>
    </cfRule>
  </conditionalFormatting>
  <conditionalFormatting sqref="C28:C29">
    <cfRule type="cellIs" dxfId="45" priority="14" operator="lessThan">
      <formula>70</formula>
    </cfRule>
  </conditionalFormatting>
  <conditionalFormatting sqref="C51">
    <cfRule type="cellIs" dxfId="44" priority="13" operator="lessThan">
      <formula>18</formula>
    </cfRule>
  </conditionalFormatting>
  <conditionalFormatting sqref="C13">
    <cfRule type="cellIs" dxfId="43" priority="10" operator="lessThan">
      <formula>100</formula>
    </cfRule>
    <cfRule type="cellIs" dxfId="42" priority="12" operator="lessThan">
      <formula>18</formula>
    </cfRule>
  </conditionalFormatting>
  <conditionalFormatting sqref="C17">
    <cfRule type="cellIs" dxfId="41" priority="9" operator="lessThan">
      <formula>200</formula>
    </cfRule>
  </conditionalFormatting>
  <conditionalFormatting sqref="C16">
    <cfRule type="cellIs" dxfId="40" priority="8" operator="lessThan">
      <formula>500</formula>
    </cfRule>
  </conditionalFormatting>
  <conditionalFormatting sqref="C33">
    <cfRule type="cellIs" dxfId="39" priority="7" operator="lessThan">
      <formula>100</formula>
    </cfRule>
  </conditionalFormatting>
  <conditionalFormatting sqref="C14">
    <cfRule type="cellIs" dxfId="38" priority="5" operator="lessThan">
      <formula>100</formula>
    </cfRule>
    <cfRule type="cellIs" dxfId="37" priority="6" operator="lessThan">
      <formula>18</formula>
    </cfRule>
  </conditionalFormatting>
  <conditionalFormatting sqref="C15">
    <cfRule type="cellIs" dxfId="36" priority="4" operator="lessThan">
      <formula>500</formula>
    </cfRule>
  </conditionalFormatting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5:H50"/>
  <sheetViews>
    <sheetView showGridLines="0" view="pageLayout" zoomScaleNormal="100" workbookViewId="0">
      <selection activeCell="C15" sqref="C15"/>
    </sheetView>
  </sheetViews>
  <sheetFormatPr baseColWidth="10" defaultRowHeight="15" x14ac:dyDescent="0.25"/>
  <cols>
    <col min="1" max="1" width="26" style="1" customWidth="1"/>
    <col min="2" max="2" width="13" style="1" customWidth="1"/>
    <col min="3" max="3" width="11.42578125" style="1"/>
    <col min="4" max="4" width="4.85546875" style="1" bestFit="1" customWidth="1"/>
    <col min="5" max="5" width="18.7109375" style="1" customWidth="1"/>
    <col min="6" max="6" width="11.42578125" style="1"/>
    <col min="7" max="7" width="10.85546875" style="1" customWidth="1"/>
    <col min="8" max="16384" width="11.42578125" style="1"/>
  </cols>
  <sheetData>
    <row r="5" spans="1:8" ht="6.75" customHeight="1" x14ac:dyDescent="0.25"/>
    <row r="6" spans="1:8" ht="16.5" customHeight="1" x14ac:dyDescent="0.3">
      <c r="A6" s="262" t="s">
        <v>404</v>
      </c>
      <c r="B6" s="262"/>
      <c r="C6" s="262"/>
      <c r="D6" s="262"/>
      <c r="E6" s="262"/>
      <c r="F6" s="262"/>
      <c r="G6" s="262"/>
    </row>
    <row r="7" spans="1:8" x14ac:dyDescent="0.25">
      <c r="A7" s="259" t="s">
        <v>412</v>
      </c>
      <c r="B7" s="260"/>
      <c r="C7" s="261"/>
      <c r="E7" s="259" t="s">
        <v>11</v>
      </c>
      <c r="F7" s="260"/>
      <c r="G7" s="261"/>
    </row>
    <row r="8" spans="1:8" x14ac:dyDescent="0.25">
      <c r="A8" s="11" t="s">
        <v>25</v>
      </c>
      <c r="B8" s="11" t="s">
        <v>26</v>
      </c>
      <c r="C8" s="11" t="s">
        <v>2</v>
      </c>
      <c r="E8" s="11" t="s">
        <v>25</v>
      </c>
      <c r="F8" s="11" t="s">
        <v>26</v>
      </c>
      <c r="G8" s="11" t="s">
        <v>2</v>
      </c>
    </row>
    <row r="9" spans="1:8" x14ac:dyDescent="0.25">
      <c r="A9" s="2" t="s">
        <v>28</v>
      </c>
      <c r="B9" s="3" t="s">
        <v>27</v>
      </c>
      <c r="C9" s="124">
        <v>0</v>
      </c>
      <c r="D9" s="12"/>
      <c r="E9" s="2" t="s">
        <v>61</v>
      </c>
      <c r="F9" s="3" t="s">
        <v>200</v>
      </c>
      <c r="G9" s="3">
        <v>320</v>
      </c>
      <c r="H9" s="12"/>
    </row>
    <row r="10" spans="1:8" x14ac:dyDescent="0.25">
      <c r="A10" s="16" t="s">
        <v>364</v>
      </c>
      <c r="B10" s="17" t="s">
        <v>365</v>
      </c>
      <c r="C10" s="124">
        <v>0</v>
      </c>
      <c r="D10" s="12"/>
      <c r="E10" s="2" t="s">
        <v>60</v>
      </c>
      <c r="F10" s="3" t="s">
        <v>197</v>
      </c>
      <c r="G10" s="3">
        <v>254</v>
      </c>
      <c r="H10" s="12"/>
    </row>
    <row r="11" spans="1:8" x14ac:dyDescent="0.25">
      <c r="A11" s="2" t="s">
        <v>29</v>
      </c>
      <c r="B11" s="3" t="s">
        <v>30</v>
      </c>
      <c r="C11" s="3">
        <v>198</v>
      </c>
      <c r="D11" s="12"/>
      <c r="E11" s="2" t="s">
        <v>62</v>
      </c>
      <c r="F11" s="3" t="s">
        <v>76</v>
      </c>
      <c r="G11" s="3">
        <v>110</v>
      </c>
      <c r="H11" s="12"/>
    </row>
    <row r="12" spans="1:8" x14ac:dyDescent="0.25">
      <c r="A12" s="2" t="s">
        <v>195</v>
      </c>
      <c r="B12" s="3" t="s">
        <v>196</v>
      </c>
      <c r="C12" s="3">
        <v>0</v>
      </c>
      <c r="D12" s="12"/>
      <c r="E12" s="2" t="s">
        <v>63</v>
      </c>
      <c r="F12" s="3" t="s">
        <v>243</v>
      </c>
      <c r="G12" s="3">
        <v>78</v>
      </c>
      <c r="H12" s="12"/>
    </row>
    <row r="13" spans="1:8" x14ac:dyDescent="0.25">
      <c r="A13" s="2" t="s">
        <v>370</v>
      </c>
      <c r="B13" s="3" t="s">
        <v>371</v>
      </c>
      <c r="C13" s="3">
        <v>0</v>
      </c>
      <c r="D13" s="12"/>
      <c r="E13" s="2" t="s">
        <v>257</v>
      </c>
      <c r="F13" s="3" t="s">
        <v>244</v>
      </c>
      <c r="G13" s="3">
        <v>30</v>
      </c>
      <c r="H13" s="12"/>
    </row>
    <row r="14" spans="1:8" x14ac:dyDescent="0.25">
      <c r="A14" s="2" t="s">
        <v>308</v>
      </c>
      <c r="B14" s="3">
        <v>2010</v>
      </c>
      <c r="C14" s="3">
        <v>0</v>
      </c>
      <c r="D14" s="12"/>
      <c r="E14" s="2" t="s">
        <v>298</v>
      </c>
      <c r="F14" s="3" t="s">
        <v>299</v>
      </c>
      <c r="G14" s="3">
        <v>121.8</v>
      </c>
      <c r="H14" s="12"/>
    </row>
    <row r="15" spans="1:8" x14ac:dyDescent="0.25">
      <c r="A15" s="2" t="s">
        <v>31</v>
      </c>
      <c r="B15" s="3" t="s">
        <v>32</v>
      </c>
      <c r="C15" s="3">
        <v>263</v>
      </c>
      <c r="D15" s="12"/>
      <c r="E15" s="2" t="s">
        <v>413</v>
      </c>
      <c r="F15" s="3" t="s">
        <v>414</v>
      </c>
      <c r="G15" s="3">
        <v>177</v>
      </c>
      <c r="H15" s="12"/>
    </row>
    <row r="16" spans="1:8" x14ac:dyDescent="0.25">
      <c r="A16" s="16" t="s">
        <v>287</v>
      </c>
      <c r="B16" s="17" t="s">
        <v>359</v>
      </c>
      <c r="C16" s="3">
        <v>0</v>
      </c>
      <c r="D16" s="12"/>
      <c r="E16" s="2" t="s">
        <v>64</v>
      </c>
      <c r="F16" s="3" t="s">
        <v>242</v>
      </c>
      <c r="G16" s="3">
        <v>306</v>
      </c>
      <c r="H16" s="12"/>
    </row>
    <row r="17" spans="1:8" x14ac:dyDescent="0.25">
      <c r="A17" s="2" t="s">
        <v>252</v>
      </c>
      <c r="B17" s="3" t="s">
        <v>33</v>
      </c>
      <c r="C17" s="3">
        <v>0</v>
      </c>
      <c r="D17" s="12"/>
      <c r="E17" s="2" t="s">
        <v>252</v>
      </c>
      <c r="F17" s="3" t="s">
        <v>198</v>
      </c>
      <c r="G17" s="3">
        <v>257</v>
      </c>
      <c r="H17" s="12"/>
    </row>
    <row r="18" spans="1:8" x14ac:dyDescent="0.25">
      <c r="A18" s="16" t="s">
        <v>368</v>
      </c>
      <c r="B18" s="17" t="s">
        <v>393</v>
      </c>
      <c r="C18" s="3">
        <v>0</v>
      </c>
      <c r="D18" s="12"/>
      <c r="E18" s="2" t="s">
        <v>42</v>
      </c>
      <c r="F18" s="3" t="s">
        <v>249</v>
      </c>
      <c r="G18" s="3">
        <v>84</v>
      </c>
      <c r="H18" s="12"/>
    </row>
    <row r="19" spans="1:8" x14ac:dyDescent="0.25">
      <c r="A19" s="2" t="s">
        <v>317</v>
      </c>
      <c r="B19" s="3" t="s">
        <v>314</v>
      </c>
      <c r="C19" s="3">
        <v>92</v>
      </c>
      <c r="D19" s="12"/>
      <c r="E19" s="40" t="s">
        <v>51</v>
      </c>
      <c r="F19" s="3" t="s">
        <v>289</v>
      </c>
      <c r="G19" s="3">
        <v>0</v>
      </c>
      <c r="H19" s="12"/>
    </row>
    <row r="20" spans="1:8" x14ac:dyDescent="0.25">
      <c r="A20" s="2" t="s">
        <v>34</v>
      </c>
      <c r="B20" s="3" t="s">
        <v>35</v>
      </c>
      <c r="C20" s="3">
        <v>248</v>
      </c>
      <c r="D20" s="12"/>
      <c r="E20" s="40" t="s">
        <v>290</v>
      </c>
      <c r="F20" s="3" t="s">
        <v>291</v>
      </c>
      <c r="G20" s="3">
        <v>209</v>
      </c>
      <c r="H20" s="12"/>
    </row>
    <row r="21" spans="1:8" x14ac:dyDescent="0.25">
      <c r="A21" s="2" t="s">
        <v>36</v>
      </c>
      <c r="B21" s="3" t="s">
        <v>37</v>
      </c>
      <c r="C21" s="3">
        <v>324</v>
      </c>
      <c r="D21" s="12"/>
      <c r="E21" s="40" t="s">
        <v>287</v>
      </c>
      <c r="F21" s="3" t="s">
        <v>300</v>
      </c>
      <c r="G21" s="3">
        <v>0</v>
      </c>
      <c r="H21" s="12"/>
    </row>
    <row r="22" spans="1:8" x14ac:dyDescent="0.25">
      <c r="A22" s="16" t="s">
        <v>366</v>
      </c>
      <c r="B22" s="17" t="s">
        <v>367</v>
      </c>
      <c r="C22" s="3">
        <v>0</v>
      </c>
      <c r="D22" s="12"/>
      <c r="E22" s="140" t="s">
        <v>275</v>
      </c>
      <c r="F22" s="141" t="s">
        <v>276</v>
      </c>
      <c r="G22" s="141">
        <v>0</v>
      </c>
      <c r="H22" s="12"/>
    </row>
    <row r="23" spans="1:8" x14ac:dyDescent="0.25">
      <c r="A23" s="2" t="s">
        <v>255</v>
      </c>
      <c r="B23" s="3" t="s">
        <v>202</v>
      </c>
      <c r="C23" s="3">
        <v>198</v>
      </c>
      <c r="D23" s="12"/>
      <c r="E23" s="142" t="s">
        <v>277</v>
      </c>
      <c r="F23" s="141" t="s">
        <v>278</v>
      </c>
      <c r="G23" s="141">
        <v>0</v>
      </c>
    </row>
    <row r="24" spans="1:8" x14ac:dyDescent="0.25">
      <c r="A24" s="2" t="s">
        <v>256</v>
      </c>
      <c r="B24" s="3" t="s">
        <v>201</v>
      </c>
      <c r="C24" s="3">
        <v>0</v>
      </c>
      <c r="D24" s="12"/>
    </row>
    <row r="25" spans="1:8" x14ac:dyDescent="0.25">
      <c r="A25" s="2" t="s">
        <v>38</v>
      </c>
      <c r="B25" s="3" t="s">
        <v>39</v>
      </c>
      <c r="C25" s="127">
        <v>234</v>
      </c>
      <c r="D25" s="12"/>
      <c r="E25" s="259" t="s">
        <v>448</v>
      </c>
      <c r="F25" s="260"/>
      <c r="G25" s="261"/>
    </row>
    <row r="26" spans="1:8" x14ac:dyDescent="0.25">
      <c r="A26" s="16" t="s">
        <v>306</v>
      </c>
      <c r="B26" s="17" t="s">
        <v>307</v>
      </c>
      <c r="C26" s="3">
        <v>54</v>
      </c>
      <c r="D26" s="12"/>
      <c r="E26" s="11" t="s">
        <v>25</v>
      </c>
      <c r="F26" s="11" t="s">
        <v>26</v>
      </c>
      <c r="G26" s="11" t="s">
        <v>2</v>
      </c>
    </row>
    <row r="27" spans="1:8" x14ac:dyDescent="0.25">
      <c r="A27" s="16" t="s">
        <v>362</v>
      </c>
      <c r="B27" s="17" t="s">
        <v>363</v>
      </c>
      <c r="C27" s="123">
        <v>0</v>
      </c>
      <c r="D27" s="12"/>
      <c r="E27" s="2" t="s">
        <v>61</v>
      </c>
      <c r="F27" s="3" t="s">
        <v>423</v>
      </c>
      <c r="G27" s="3">
        <v>40</v>
      </c>
    </row>
    <row r="28" spans="1:8" x14ac:dyDescent="0.25">
      <c r="A28" s="2" t="s">
        <v>40</v>
      </c>
      <c r="B28" s="3" t="s">
        <v>41</v>
      </c>
      <c r="C28" s="3">
        <v>18</v>
      </c>
      <c r="D28" s="12"/>
    </row>
    <row r="29" spans="1:8" x14ac:dyDescent="0.25">
      <c r="A29" s="2" t="s">
        <v>42</v>
      </c>
      <c r="B29" s="3" t="s">
        <v>269</v>
      </c>
      <c r="C29" s="3">
        <v>119</v>
      </c>
      <c r="D29" s="12"/>
    </row>
    <row r="30" spans="1:8" x14ac:dyDescent="0.25">
      <c r="A30" s="2" t="s">
        <v>49</v>
      </c>
      <c r="B30" s="3" t="s">
        <v>50</v>
      </c>
      <c r="C30" s="3">
        <v>79</v>
      </c>
      <c r="D30" s="12"/>
    </row>
    <row r="31" spans="1:8" x14ac:dyDescent="0.25">
      <c r="A31" s="2" t="s">
        <v>402</v>
      </c>
      <c r="B31" s="3" t="s">
        <v>403</v>
      </c>
      <c r="C31" s="3">
        <v>0</v>
      </c>
      <c r="D31" s="12"/>
    </row>
    <row r="32" spans="1:8" x14ac:dyDescent="0.25">
      <c r="A32" s="2" t="s">
        <v>43</v>
      </c>
      <c r="B32" s="3" t="s">
        <v>44</v>
      </c>
      <c r="C32" s="3">
        <v>105</v>
      </c>
      <c r="D32" s="12"/>
    </row>
    <row r="33" spans="1:4" x14ac:dyDescent="0.25">
      <c r="A33" s="16" t="s">
        <v>360</v>
      </c>
      <c r="B33" s="17" t="s">
        <v>361</v>
      </c>
      <c r="C33" s="3">
        <v>0</v>
      </c>
      <c r="D33" s="12"/>
    </row>
    <row r="34" spans="1:4" x14ac:dyDescent="0.25">
      <c r="A34" s="2" t="s">
        <v>46</v>
      </c>
      <c r="B34" s="3" t="s">
        <v>45</v>
      </c>
      <c r="C34" s="3">
        <v>0</v>
      </c>
      <c r="D34" s="12"/>
    </row>
    <row r="35" spans="1:4" x14ac:dyDescent="0.25">
      <c r="A35" s="2" t="s">
        <v>258</v>
      </c>
      <c r="B35" s="3" t="s">
        <v>259</v>
      </c>
      <c r="C35" s="3">
        <v>57</v>
      </c>
      <c r="D35" s="12"/>
    </row>
    <row r="36" spans="1:4" x14ac:dyDescent="0.25">
      <c r="A36" s="2" t="s">
        <v>260</v>
      </c>
      <c r="B36" s="3" t="s">
        <v>261</v>
      </c>
      <c r="C36" s="3">
        <v>54</v>
      </c>
      <c r="D36" s="12"/>
    </row>
    <row r="37" spans="1:4" x14ac:dyDescent="0.25">
      <c r="A37" s="2" t="s">
        <v>51</v>
      </c>
      <c r="B37" s="3" t="s">
        <v>72</v>
      </c>
      <c r="C37" s="3">
        <v>35</v>
      </c>
      <c r="D37" s="12"/>
    </row>
    <row r="38" spans="1:4" x14ac:dyDescent="0.25">
      <c r="A38" s="2" t="s">
        <v>253</v>
      </c>
      <c r="B38" s="3" t="s">
        <v>254</v>
      </c>
      <c r="C38" s="3">
        <v>59</v>
      </c>
      <c r="D38" s="12"/>
    </row>
    <row r="39" spans="1:4" x14ac:dyDescent="0.25">
      <c r="A39" s="2" t="s">
        <v>47</v>
      </c>
      <c r="B39" s="3" t="s">
        <v>48</v>
      </c>
      <c r="C39" s="3">
        <v>54</v>
      </c>
      <c r="D39" s="12"/>
    </row>
    <row r="40" spans="1:4" x14ac:dyDescent="0.25">
      <c r="A40" s="2" t="s">
        <v>279</v>
      </c>
      <c r="B40" s="3" t="s">
        <v>280</v>
      </c>
      <c r="C40" s="3">
        <v>18</v>
      </c>
      <c r="D40" s="12"/>
    </row>
    <row r="41" spans="1:4" x14ac:dyDescent="0.25">
      <c r="A41" s="2" t="s">
        <v>52</v>
      </c>
      <c r="B41" s="3" t="s">
        <v>53</v>
      </c>
      <c r="C41" s="3">
        <v>36</v>
      </c>
      <c r="D41" s="12"/>
    </row>
    <row r="42" spans="1:4" x14ac:dyDescent="0.25">
      <c r="A42" s="2" t="s">
        <v>54</v>
      </c>
      <c r="B42" s="3" t="s">
        <v>55</v>
      </c>
      <c r="C42" s="3">
        <v>70</v>
      </c>
      <c r="D42" s="12"/>
    </row>
    <row r="43" spans="1:4" x14ac:dyDescent="0.25">
      <c r="A43" s="2" t="s">
        <v>73</v>
      </c>
      <c r="B43" s="3" t="s">
        <v>56</v>
      </c>
      <c r="C43" s="3">
        <v>80</v>
      </c>
      <c r="D43" s="12"/>
    </row>
    <row r="44" spans="1:4" x14ac:dyDescent="0.25">
      <c r="A44" s="2" t="s">
        <v>74</v>
      </c>
      <c r="B44" s="3">
        <v>2042</v>
      </c>
      <c r="C44" s="3">
        <v>66</v>
      </c>
      <c r="D44" s="12"/>
    </row>
    <row r="45" spans="1:4" x14ac:dyDescent="0.25">
      <c r="A45" s="2" t="s">
        <v>57</v>
      </c>
      <c r="B45" s="3" t="s">
        <v>58</v>
      </c>
      <c r="C45" s="3">
        <v>133.6</v>
      </c>
    </row>
    <row r="46" spans="1:4" x14ac:dyDescent="0.25">
      <c r="A46" s="2" t="s">
        <v>75</v>
      </c>
      <c r="B46" s="3" t="s">
        <v>59</v>
      </c>
      <c r="C46" s="3">
        <v>68</v>
      </c>
    </row>
    <row r="47" spans="1:4" x14ac:dyDescent="0.25">
      <c r="A47" s="16" t="s">
        <v>250</v>
      </c>
      <c r="B47" s="17" t="s">
        <v>251</v>
      </c>
      <c r="C47" s="3">
        <v>18</v>
      </c>
    </row>
    <row r="48" spans="1:4" x14ac:dyDescent="0.25">
      <c r="A48" s="16" t="s">
        <v>78</v>
      </c>
      <c r="B48" s="17" t="s">
        <v>79</v>
      </c>
      <c r="C48" s="3">
        <v>126</v>
      </c>
    </row>
    <row r="49" spans="1:3" x14ac:dyDescent="0.25">
      <c r="A49" s="16" t="s">
        <v>301</v>
      </c>
      <c r="B49" s="17" t="s">
        <v>302</v>
      </c>
      <c r="C49" s="3">
        <v>0</v>
      </c>
    </row>
    <row r="50" spans="1:3" x14ac:dyDescent="0.25">
      <c r="A50" s="16" t="s">
        <v>304</v>
      </c>
      <c r="B50" s="17" t="s">
        <v>305</v>
      </c>
      <c r="C50" s="3">
        <v>0</v>
      </c>
    </row>
  </sheetData>
  <mergeCells count="4">
    <mergeCell ref="A6:G6"/>
    <mergeCell ref="A7:C7"/>
    <mergeCell ref="E7:G7"/>
    <mergeCell ref="E25:G25"/>
  </mergeCells>
  <conditionalFormatting sqref="C9">
    <cfRule type="cellIs" dxfId="35" priority="22" operator="lessThan">
      <formula>500</formula>
    </cfRule>
  </conditionalFormatting>
  <conditionalFormatting sqref="C15">
    <cfRule type="cellIs" dxfId="34" priority="21" operator="lessThan">
      <formula>500</formula>
    </cfRule>
  </conditionalFormatting>
  <conditionalFormatting sqref="C20">
    <cfRule type="cellIs" dxfId="33" priority="20" operator="lessThan">
      <formula>200</formula>
    </cfRule>
  </conditionalFormatting>
  <conditionalFormatting sqref="C21">
    <cfRule type="cellIs" dxfId="32" priority="19" operator="lessThan">
      <formula>200</formula>
    </cfRule>
  </conditionalFormatting>
  <conditionalFormatting sqref="C25">
    <cfRule type="cellIs" dxfId="31" priority="18" operator="lessThan">
      <formula>200</formula>
    </cfRule>
  </conditionalFormatting>
  <conditionalFormatting sqref="C32">
    <cfRule type="cellIs" dxfId="30" priority="17" operator="lessThan">
      <formula>100</formula>
    </cfRule>
  </conditionalFormatting>
  <conditionalFormatting sqref="G9">
    <cfRule type="cellIs" dxfId="29" priority="16" operator="lessThan">
      <formula>500</formula>
    </cfRule>
  </conditionalFormatting>
  <conditionalFormatting sqref="C11">
    <cfRule type="cellIs" dxfId="28" priority="15" operator="lessThan">
      <formula>36</formula>
    </cfRule>
  </conditionalFormatting>
  <conditionalFormatting sqref="G11">
    <cfRule type="cellIs" dxfId="27" priority="14" operator="lessThan">
      <formula>200</formula>
    </cfRule>
  </conditionalFormatting>
  <conditionalFormatting sqref="G16">
    <cfRule type="cellIs" dxfId="26" priority="7" operator="lessThan">
      <formula>200</formula>
    </cfRule>
    <cfRule type="cellIs" dxfId="25" priority="8" operator="lessThan">
      <formula>200</formula>
    </cfRule>
    <cfRule type="cellIs" dxfId="24" priority="9" operator="lessThan">
      <formula>200</formula>
    </cfRule>
    <cfRule type="cellIs" dxfId="23" priority="13" operator="lessThan">
      <formula>500</formula>
    </cfRule>
  </conditionalFormatting>
  <conditionalFormatting sqref="G12">
    <cfRule type="cellIs" dxfId="22" priority="12" operator="lessThan">
      <formula>200</formula>
    </cfRule>
  </conditionalFormatting>
  <conditionalFormatting sqref="G15">
    <cfRule type="cellIs" dxfId="21" priority="10" operator="lessThan">
      <formula>200</formula>
    </cfRule>
    <cfRule type="cellIs" dxfId="20" priority="11" operator="lessThan">
      <formula>36</formula>
    </cfRule>
  </conditionalFormatting>
  <conditionalFormatting sqref="G17">
    <cfRule type="cellIs" dxfId="19" priority="6" operator="lessThan">
      <formula>90</formula>
    </cfRule>
  </conditionalFormatting>
  <conditionalFormatting sqref="C29">
    <cfRule type="cellIs" dxfId="18" priority="5" operator="lessThan">
      <formula>54</formula>
    </cfRule>
  </conditionalFormatting>
  <conditionalFormatting sqref="C30">
    <cfRule type="cellIs" dxfId="17" priority="4" operator="lessThan">
      <formula>100</formula>
    </cfRule>
  </conditionalFormatting>
  <conditionalFormatting sqref="C17">
    <cfRule type="cellIs" dxfId="16" priority="3" operator="lessThan">
      <formula>200</formula>
    </cfRule>
  </conditionalFormatting>
  <conditionalFormatting sqref="C28">
    <cfRule type="cellIs" dxfId="15" priority="2" operator="lessThan">
      <formula>70</formula>
    </cfRule>
  </conditionalFormatting>
  <conditionalFormatting sqref="C50">
    <cfRule type="cellIs" dxfId="14" priority="1" operator="lessThan">
      <formula>18</formula>
    </cfRule>
  </conditionalFormatting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26"/>
  <sheetViews>
    <sheetView view="pageLayout" zoomScaleNormal="100" workbookViewId="0">
      <selection activeCell="C13" sqref="C13"/>
    </sheetView>
  </sheetViews>
  <sheetFormatPr baseColWidth="10" defaultRowHeight="15" x14ac:dyDescent="0.25"/>
  <cols>
    <col min="1" max="1" width="11.28515625" style="1" customWidth="1"/>
    <col min="2" max="2" width="17.5703125" style="1" customWidth="1"/>
    <col min="3" max="3" width="23.140625" style="1" customWidth="1"/>
    <col min="4" max="4" width="17.5703125" style="1" customWidth="1"/>
    <col min="5" max="5" width="15.42578125" style="1" customWidth="1"/>
    <col min="6" max="16384" width="11.42578125" style="1"/>
  </cols>
  <sheetData>
    <row r="1" spans="1:5" ht="15" customHeight="1" x14ac:dyDescent="0.25">
      <c r="C1" s="5"/>
      <c r="D1" s="5"/>
      <c r="E1" s="5"/>
    </row>
    <row r="2" spans="1:5" x14ac:dyDescent="0.25">
      <c r="C2" s="5"/>
      <c r="D2" s="5"/>
      <c r="E2" s="5"/>
    </row>
    <row r="3" spans="1:5" ht="15.75" customHeight="1" x14ac:dyDescent="0.25"/>
    <row r="7" spans="1:5" ht="18.75" x14ac:dyDescent="0.3">
      <c r="A7" s="262" t="s">
        <v>262</v>
      </c>
      <c r="B7" s="262"/>
      <c r="C7" s="262"/>
      <c r="D7" s="262"/>
      <c r="E7" s="262"/>
    </row>
    <row r="8" spans="1:5" x14ac:dyDescent="0.25">
      <c r="D8" s="204">
        <v>46079</v>
      </c>
      <c r="E8" s="6"/>
    </row>
    <row r="9" spans="1:5" ht="37.5" customHeight="1" x14ac:dyDescent="0.25">
      <c r="B9" s="13" t="s">
        <v>12</v>
      </c>
      <c r="C9" s="13" t="s">
        <v>0</v>
      </c>
      <c r="D9" s="13" t="s">
        <v>2</v>
      </c>
    </row>
    <row r="10" spans="1:5" ht="15" customHeight="1" x14ac:dyDescent="0.25">
      <c r="B10" s="35" t="s">
        <v>13</v>
      </c>
      <c r="C10" s="179" t="s">
        <v>14</v>
      </c>
      <c r="D10" s="8">
        <v>454.06</v>
      </c>
      <c r="E10" s="4"/>
    </row>
    <row r="11" spans="1:5" x14ac:dyDescent="0.25">
      <c r="B11" s="7" t="s">
        <v>15</v>
      </c>
      <c r="C11" s="14" t="s">
        <v>16</v>
      </c>
      <c r="D11" s="8">
        <v>608.23</v>
      </c>
      <c r="E11" s="162"/>
    </row>
    <row r="12" spans="1:5" ht="18" customHeight="1" x14ac:dyDescent="0.25">
      <c r="B12" s="7" t="s">
        <v>17</v>
      </c>
      <c r="C12" s="14" t="s">
        <v>18</v>
      </c>
      <c r="D12" s="8">
        <v>323</v>
      </c>
    </row>
    <row r="13" spans="1:5" ht="21.75" customHeight="1" x14ac:dyDescent="0.25">
      <c r="B13" s="7" t="s">
        <v>19</v>
      </c>
      <c r="C13" s="14" t="s">
        <v>20</v>
      </c>
      <c r="D13" s="9">
        <v>420</v>
      </c>
    </row>
    <row r="14" spans="1:5" ht="20.25" customHeight="1" x14ac:dyDescent="0.25">
      <c r="B14" s="7" t="s">
        <v>21</v>
      </c>
      <c r="C14" s="14" t="s">
        <v>22</v>
      </c>
      <c r="D14" s="9">
        <v>210</v>
      </c>
      <c r="E14" s="4"/>
    </row>
    <row r="15" spans="1:5" ht="22.5" customHeight="1" x14ac:dyDescent="0.25">
      <c r="B15" s="7" t="s">
        <v>23</v>
      </c>
      <c r="C15" s="14" t="s">
        <v>24</v>
      </c>
      <c r="D15" s="8">
        <v>0</v>
      </c>
    </row>
    <row r="16" spans="1:5" ht="24" customHeight="1" x14ac:dyDescent="0.25">
      <c r="B16" s="7" t="s">
        <v>21</v>
      </c>
      <c r="C16" s="14" t="s">
        <v>65</v>
      </c>
      <c r="D16" s="117">
        <v>0</v>
      </c>
      <c r="E16" s="6"/>
    </row>
    <row r="17" spans="3:5" ht="24" customHeight="1" x14ac:dyDescent="0.25">
      <c r="C17" s="10"/>
      <c r="D17" s="4"/>
      <c r="E17" s="4"/>
    </row>
    <row r="18" spans="3:5" x14ac:dyDescent="0.25">
      <c r="C18" s="4"/>
      <c r="D18" s="4" t="s">
        <v>384</v>
      </c>
      <c r="E18" s="4"/>
    </row>
    <row r="19" spans="3:5" x14ac:dyDescent="0.25">
      <c r="C19" s="4"/>
      <c r="D19" s="4"/>
      <c r="E19" s="4"/>
    </row>
    <row r="20" spans="3:5" x14ac:dyDescent="0.25">
      <c r="C20" s="4"/>
      <c r="D20" s="4"/>
      <c r="E20" s="4"/>
    </row>
    <row r="21" spans="3:5" x14ac:dyDescent="0.25">
      <c r="C21" s="4"/>
      <c r="D21" s="4"/>
      <c r="E21" s="4"/>
    </row>
    <row r="22" spans="3:5" x14ac:dyDescent="0.25">
      <c r="C22" s="4"/>
      <c r="D22" s="4"/>
      <c r="E22" s="4"/>
    </row>
    <row r="23" spans="3:5" x14ac:dyDescent="0.25">
      <c r="C23" s="4"/>
      <c r="D23" s="4"/>
      <c r="E23" s="4"/>
    </row>
    <row r="24" spans="3:5" x14ac:dyDescent="0.25">
      <c r="D24" s="4"/>
      <c r="E24" s="4"/>
    </row>
    <row r="25" spans="3:5" x14ac:dyDescent="0.25">
      <c r="D25" s="4"/>
      <c r="E25" s="4"/>
    </row>
    <row r="26" spans="3:5" x14ac:dyDescent="0.25">
      <c r="E26" s="4"/>
    </row>
  </sheetData>
  <mergeCells count="1">
    <mergeCell ref="A7:E7"/>
  </mergeCells>
  <conditionalFormatting sqref="D12">
    <cfRule type="cellIs" dxfId="13" priority="5" operator="lessThan">
      <formula>190</formula>
    </cfRule>
    <cfRule type="cellIs" dxfId="12" priority="8" operator="lessThan">
      <formula>190</formula>
    </cfRule>
    <cfRule type="cellIs" dxfId="11" priority="14" operator="lessThan">
      <formula>100</formula>
    </cfRule>
  </conditionalFormatting>
  <conditionalFormatting sqref="D10">
    <cfRule type="cellIs" dxfId="10" priority="6" operator="lessThan">
      <formula>2835</formula>
    </cfRule>
    <cfRule type="cellIs" dxfId="9" priority="7" operator="lessThan">
      <formula>1890</formula>
    </cfRule>
    <cfRule type="cellIs" dxfId="8" priority="12" operator="lessThan">
      <formula>1000</formula>
    </cfRule>
    <cfRule type="cellIs" dxfId="7" priority="13" operator="lessThan">
      <formula>100</formula>
    </cfRule>
  </conditionalFormatting>
  <conditionalFormatting sqref="D11">
    <cfRule type="cellIs" dxfId="6" priority="2" operator="lessThan">
      <formula>541</formula>
    </cfRule>
    <cfRule type="cellIs" dxfId="5" priority="11" operator="lessThan">
      <formula>500</formula>
    </cfRule>
  </conditionalFormatting>
  <conditionalFormatting sqref="D13">
    <cfRule type="cellIs" dxfId="4" priority="3" operator="lessThan">
      <formula>401</formula>
    </cfRule>
    <cfRule type="cellIs" dxfId="3" priority="4" operator="lessThan">
      <formula>400</formula>
    </cfRule>
    <cfRule type="cellIs" dxfId="2" priority="10" operator="lessThan">
      <formula>200</formula>
    </cfRule>
  </conditionalFormatting>
  <conditionalFormatting sqref="D14">
    <cfRule type="cellIs" dxfId="1" priority="1" operator="lessThan">
      <formula>381</formula>
    </cfRule>
    <cfRule type="cellIs" dxfId="0" priority="9" operator="lessThan">
      <formula>210</formula>
    </cfRule>
  </conditionalFormatting>
  <pageMargins left="1.0416666666666667" right="0.78740157480314965" top="0.78740157480314965" bottom="0.78740157480314965" header="0.31496062992125984" footer="0.31496062992125984"/>
  <pageSetup fitToWidth="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G135"/>
  <sheetViews>
    <sheetView showGridLines="0" view="pageLayout" topLeftCell="A109" zoomScaleNormal="100" workbookViewId="0">
      <selection activeCell="B24" sqref="B24"/>
    </sheetView>
  </sheetViews>
  <sheetFormatPr baseColWidth="10" defaultRowHeight="15" x14ac:dyDescent="0.25"/>
  <cols>
    <col min="1" max="1" width="9" style="1" bestFit="1" customWidth="1"/>
    <col min="2" max="2" width="23.5703125" style="21" customWidth="1"/>
    <col min="3" max="3" width="10.42578125" style="1" bestFit="1" customWidth="1"/>
    <col min="4" max="4" width="10.85546875" style="1" customWidth="1"/>
    <col min="5" max="5" width="8.7109375" style="1" bestFit="1" customWidth="1"/>
    <col min="6" max="6" width="26.42578125" style="21" customWidth="1"/>
    <col min="7" max="7" width="10.7109375" style="1" bestFit="1" customWidth="1"/>
    <col min="8" max="16384" width="11.42578125" style="1"/>
  </cols>
  <sheetData>
    <row r="1" spans="1:7" ht="15" customHeight="1" x14ac:dyDescent="0.25">
      <c r="E1" s="5"/>
      <c r="F1" s="23"/>
      <c r="G1" s="5"/>
    </row>
    <row r="2" spans="1:7" x14ac:dyDescent="0.25">
      <c r="E2" s="5"/>
      <c r="F2" s="23"/>
      <c r="G2" s="5"/>
    </row>
    <row r="3" spans="1:7" ht="15.75" customHeight="1" x14ac:dyDescent="0.25"/>
    <row r="6" spans="1:7" ht="18.75" x14ac:dyDescent="0.3">
      <c r="B6" s="262" t="s">
        <v>263</v>
      </c>
      <c r="C6" s="262"/>
      <c r="D6" s="262"/>
      <c r="E6" s="262"/>
      <c r="F6" s="262"/>
      <c r="G6" s="18"/>
    </row>
    <row r="7" spans="1:7" x14ac:dyDescent="0.25">
      <c r="A7" s="263" t="s">
        <v>318</v>
      </c>
      <c r="B7" s="263"/>
      <c r="C7" s="263"/>
      <c r="G7" s="6"/>
    </row>
    <row r="8" spans="1:7" ht="37.5" customHeight="1" x14ac:dyDescent="0.25">
      <c r="A8" s="20" t="s">
        <v>80</v>
      </c>
      <c r="B8" s="22" t="s">
        <v>0</v>
      </c>
      <c r="C8" s="20" t="s">
        <v>77</v>
      </c>
      <c r="E8" s="20" t="s">
        <v>80</v>
      </c>
      <c r="F8" s="22" t="s">
        <v>0</v>
      </c>
      <c r="G8" s="20" t="s">
        <v>77</v>
      </c>
    </row>
    <row r="9" spans="1:7" x14ac:dyDescent="0.25">
      <c r="A9" s="7" t="s">
        <v>113</v>
      </c>
      <c r="B9" s="19" t="s">
        <v>81</v>
      </c>
      <c r="C9" s="25">
        <v>0</v>
      </c>
      <c r="E9" s="7" t="s">
        <v>113</v>
      </c>
      <c r="F9" s="19" t="s">
        <v>122</v>
      </c>
      <c r="G9" s="25">
        <v>2</v>
      </c>
    </row>
    <row r="10" spans="1:7" x14ac:dyDescent="0.25">
      <c r="A10" s="7" t="s">
        <v>113</v>
      </c>
      <c r="B10" s="19" t="s">
        <v>82</v>
      </c>
      <c r="C10" s="25">
        <v>0</v>
      </c>
      <c r="E10" s="29" t="s">
        <v>113</v>
      </c>
      <c r="F10" s="30" t="s">
        <v>123</v>
      </c>
      <c r="G10" s="31">
        <v>0</v>
      </c>
    </row>
    <row r="11" spans="1:7" x14ac:dyDescent="0.25">
      <c r="A11" s="7" t="s">
        <v>113</v>
      </c>
      <c r="B11" s="19" t="s">
        <v>83</v>
      </c>
      <c r="C11" s="25">
        <v>0</v>
      </c>
      <c r="E11" s="7" t="s">
        <v>113</v>
      </c>
      <c r="F11" s="19" t="s">
        <v>124</v>
      </c>
      <c r="G11" s="25">
        <v>0</v>
      </c>
    </row>
    <row r="12" spans="1:7" x14ac:dyDescent="0.25">
      <c r="A12" s="7" t="s">
        <v>113</v>
      </c>
      <c r="B12" s="19" t="s">
        <v>84</v>
      </c>
      <c r="C12" s="26">
        <v>0</v>
      </c>
      <c r="E12" s="29" t="s">
        <v>113</v>
      </c>
      <c r="F12" s="30" t="s">
        <v>125</v>
      </c>
      <c r="G12" s="31">
        <v>0</v>
      </c>
    </row>
    <row r="13" spans="1:7" x14ac:dyDescent="0.25">
      <c r="A13" s="7" t="s">
        <v>113</v>
      </c>
      <c r="B13" s="19" t="s">
        <v>85</v>
      </c>
      <c r="C13" s="26">
        <v>1</v>
      </c>
      <c r="E13" s="7" t="s">
        <v>113</v>
      </c>
      <c r="F13" s="19" t="s">
        <v>126</v>
      </c>
      <c r="G13" s="26">
        <v>2</v>
      </c>
    </row>
    <row r="14" spans="1:7" x14ac:dyDescent="0.25">
      <c r="A14" s="7" t="s">
        <v>113</v>
      </c>
      <c r="B14" s="19" t="s">
        <v>86</v>
      </c>
      <c r="C14" s="25">
        <v>6</v>
      </c>
      <c r="E14" s="7" t="s">
        <v>113</v>
      </c>
      <c r="F14" s="19" t="s">
        <v>127</v>
      </c>
      <c r="G14" s="25">
        <v>0</v>
      </c>
    </row>
    <row r="15" spans="1:7" x14ac:dyDescent="0.25">
      <c r="A15" s="7" t="s">
        <v>113</v>
      </c>
      <c r="B15" s="19" t="s">
        <v>87</v>
      </c>
      <c r="C15" s="25">
        <v>1</v>
      </c>
      <c r="E15" s="7" t="s">
        <v>113</v>
      </c>
      <c r="F15" s="19" t="s">
        <v>128</v>
      </c>
      <c r="G15" s="25">
        <v>2</v>
      </c>
    </row>
    <row r="16" spans="1:7" x14ac:dyDescent="0.25">
      <c r="A16" s="29" t="s">
        <v>113</v>
      </c>
      <c r="B16" s="30" t="s">
        <v>88</v>
      </c>
      <c r="C16" s="31">
        <v>0</v>
      </c>
      <c r="D16" s="28"/>
      <c r="E16" s="32" t="s">
        <v>115</v>
      </c>
      <c r="F16" s="33" t="s">
        <v>129</v>
      </c>
      <c r="G16" s="34">
        <v>11</v>
      </c>
    </row>
    <row r="17" spans="1:7" x14ac:dyDescent="0.25">
      <c r="A17" s="29" t="s">
        <v>113</v>
      </c>
      <c r="B17" s="30" t="s">
        <v>89</v>
      </c>
      <c r="C17" s="31">
        <v>153</v>
      </c>
      <c r="D17" s="28"/>
      <c r="E17" s="7" t="s">
        <v>131</v>
      </c>
      <c r="F17" s="19" t="s">
        <v>130</v>
      </c>
      <c r="G17" s="25">
        <v>4</v>
      </c>
    </row>
    <row r="18" spans="1:7" x14ac:dyDescent="0.25">
      <c r="A18" s="29" t="s">
        <v>113</v>
      </c>
      <c r="B18" s="41" t="s">
        <v>283</v>
      </c>
      <c r="C18" s="31">
        <v>0</v>
      </c>
      <c r="E18" s="7" t="s">
        <v>115</v>
      </c>
      <c r="F18" s="19" t="s">
        <v>132</v>
      </c>
      <c r="G18" s="25">
        <v>23</v>
      </c>
    </row>
    <row r="19" spans="1:7" x14ac:dyDescent="0.25">
      <c r="A19" s="29" t="s">
        <v>113</v>
      </c>
      <c r="B19" s="41" t="s">
        <v>284</v>
      </c>
      <c r="C19" s="31">
        <v>0</v>
      </c>
      <c r="E19" s="7" t="s">
        <v>113</v>
      </c>
      <c r="F19" s="19" t="s">
        <v>133</v>
      </c>
      <c r="G19" s="25">
        <v>1</v>
      </c>
    </row>
    <row r="20" spans="1:7" x14ac:dyDescent="0.25">
      <c r="A20" s="29" t="s">
        <v>113</v>
      </c>
      <c r="B20" s="41" t="s">
        <v>285</v>
      </c>
      <c r="C20" s="31">
        <v>0</v>
      </c>
      <c r="E20" s="7" t="s">
        <v>113</v>
      </c>
      <c r="F20" s="19" t="s">
        <v>134</v>
      </c>
      <c r="G20" s="25">
        <v>1</v>
      </c>
    </row>
    <row r="21" spans="1:7" x14ac:dyDescent="0.25">
      <c r="A21" s="7" t="s">
        <v>113</v>
      </c>
      <c r="B21" s="19"/>
      <c r="C21" s="25"/>
      <c r="E21" s="29" t="s">
        <v>113</v>
      </c>
      <c r="F21" s="30" t="s">
        <v>135</v>
      </c>
      <c r="G21" s="31">
        <v>0</v>
      </c>
    </row>
    <row r="22" spans="1:7" x14ac:dyDescent="0.25">
      <c r="A22" s="7" t="s">
        <v>113</v>
      </c>
      <c r="B22" s="19" t="s">
        <v>93</v>
      </c>
      <c r="C22" s="25">
        <v>0</v>
      </c>
      <c r="E22" s="7" t="s">
        <v>113</v>
      </c>
      <c r="F22" s="19" t="s">
        <v>136</v>
      </c>
      <c r="G22" s="25">
        <v>1</v>
      </c>
    </row>
    <row r="23" spans="1:7" x14ac:dyDescent="0.25">
      <c r="A23" s="7" t="s">
        <v>113</v>
      </c>
      <c r="B23" s="19" t="s">
        <v>94</v>
      </c>
      <c r="C23" s="25">
        <v>0</v>
      </c>
      <c r="E23" s="7" t="s">
        <v>113</v>
      </c>
      <c r="F23" s="19" t="s">
        <v>137</v>
      </c>
      <c r="G23" s="25">
        <v>0</v>
      </c>
    </row>
    <row r="24" spans="1:7" x14ac:dyDescent="0.25">
      <c r="A24" s="7" t="s">
        <v>113</v>
      </c>
      <c r="B24" s="19" t="s">
        <v>95</v>
      </c>
      <c r="C24" s="25">
        <v>2</v>
      </c>
      <c r="E24" s="7" t="s">
        <v>116</v>
      </c>
      <c r="F24" s="19" t="s">
        <v>138</v>
      </c>
      <c r="G24" s="25">
        <v>1</v>
      </c>
    </row>
    <row r="25" spans="1:7" x14ac:dyDescent="0.25">
      <c r="A25" s="7" t="s">
        <v>114</v>
      </c>
      <c r="B25" s="19" t="s">
        <v>96</v>
      </c>
      <c r="C25" s="25">
        <v>2</v>
      </c>
      <c r="E25" s="7" t="s">
        <v>113</v>
      </c>
      <c r="F25" s="19" t="s">
        <v>139</v>
      </c>
      <c r="G25" s="25">
        <v>1</v>
      </c>
    </row>
    <row r="26" spans="1:7" x14ac:dyDescent="0.25">
      <c r="A26" s="7" t="s">
        <v>114</v>
      </c>
      <c r="B26" s="19" t="s">
        <v>97</v>
      </c>
      <c r="C26" s="25">
        <v>10</v>
      </c>
      <c r="E26" s="7" t="s">
        <v>113</v>
      </c>
      <c r="F26" s="19" t="s">
        <v>140</v>
      </c>
      <c r="G26" s="25">
        <v>10</v>
      </c>
    </row>
    <row r="27" spans="1:7" x14ac:dyDescent="0.25">
      <c r="A27" s="7" t="s">
        <v>113</v>
      </c>
      <c r="B27" s="19" t="s">
        <v>98</v>
      </c>
      <c r="C27" s="25">
        <v>5</v>
      </c>
      <c r="E27" s="7" t="s">
        <v>113</v>
      </c>
      <c r="F27" s="19" t="s">
        <v>141</v>
      </c>
      <c r="G27" s="25">
        <v>0</v>
      </c>
    </row>
    <row r="28" spans="1:7" x14ac:dyDescent="0.25">
      <c r="A28" s="29" t="s">
        <v>115</v>
      </c>
      <c r="B28" s="30" t="s">
        <v>99</v>
      </c>
      <c r="C28" s="31">
        <v>0</v>
      </c>
      <c r="E28" s="7" t="s">
        <v>113</v>
      </c>
      <c r="F28" s="19" t="s">
        <v>374</v>
      </c>
      <c r="G28" s="25">
        <v>20</v>
      </c>
    </row>
    <row r="29" spans="1:7" x14ac:dyDescent="0.25">
      <c r="A29" s="29" t="s">
        <v>116</v>
      </c>
      <c r="B29" s="30" t="s">
        <v>100</v>
      </c>
      <c r="C29" s="39">
        <v>3.5</v>
      </c>
      <c r="E29" s="7" t="s">
        <v>113</v>
      </c>
      <c r="F29" s="19" t="s">
        <v>143</v>
      </c>
      <c r="G29" s="25">
        <v>0</v>
      </c>
    </row>
    <row r="30" spans="1:7" x14ac:dyDescent="0.25">
      <c r="A30" s="29" t="s">
        <v>113</v>
      </c>
      <c r="B30" s="30" t="s">
        <v>101</v>
      </c>
      <c r="C30" s="31">
        <v>0</v>
      </c>
      <c r="E30" s="7" t="s">
        <v>113</v>
      </c>
      <c r="F30" s="19" t="s">
        <v>144</v>
      </c>
      <c r="G30" s="25">
        <v>20</v>
      </c>
    </row>
    <row r="31" spans="1:7" x14ac:dyDescent="0.25">
      <c r="A31" s="7" t="s">
        <v>113</v>
      </c>
      <c r="B31" s="19" t="s">
        <v>102</v>
      </c>
      <c r="C31" s="25">
        <v>3</v>
      </c>
      <c r="E31" s="7" t="s">
        <v>113</v>
      </c>
      <c r="F31" s="19" t="s">
        <v>145</v>
      </c>
      <c r="G31" s="25">
        <v>45</v>
      </c>
    </row>
    <row r="32" spans="1:7" x14ac:dyDescent="0.25">
      <c r="A32" s="7" t="s">
        <v>113</v>
      </c>
      <c r="B32" s="19" t="s">
        <v>103</v>
      </c>
      <c r="C32" s="25">
        <v>1</v>
      </c>
      <c r="E32" s="7" t="s">
        <v>113</v>
      </c>
      <c r="F32" s="19" t="s">
        <v>146</v>
      </c>
      <c r="G32" s="25">
        <v>23</v>
      </c>
    </row>
    <row r="33" spans="1:7" x14ac:dyDescent="0.25">
      <c r="A33" s="29" t="s">
        <v>113</v>
      </c>
      <c r="B33" s="30" t="s">
        <v>104</v>
      </c>
      <c r="C33" s="31">
        <v>0</v>
      </c>
      <c r="E33" s="7" t="s">
        <v>113</v>
      </c>
      <c r="F33" s="19" t="s">
        <v>147</v>
      </c>
      <c r="G33" s="25">
        <v>1841</v>
      </c>
    </row>
    <row r="34" spans="1:7" x14ac:dyDescent="0.25">
      <c r="A34" s="7" t="s">
        <v>113</v>
      </c>
      <c r="B34" s="19" t="s">
        <v>105</v>
      </c>
      <c r="C34" s="25">
        <v>0</v>
      </c>
      <c r="E34" s="7" t="s">
        <v>113</v>
      </c>
      <c r="F34" s="19" t="s">
        <v>148</v>
      </c>
      <c r="G34" s="25">
        <v>55</v>
      </c>
    </row>
    <row r="35" spans="1:7" x14ac:dyDescent="0.25">
      <c r="A35" s="7" t="s">
        <v>117</v>
      </c>
      <c r="B35" s="19" t="s">
        <v>106</v>
      </c>
      <c r="C35" s="25">
        <v>2</v>
      </c>
      <c r="E35" s="7" t="s">
        <v>150</v>
      </c>
      <c r="F35" s="19" t="s">
        <v>149</v>
      </c>
      <c r="G35" s="25">
        <v>3</v>
      </c>
    </row>
    <row r="36" spans="1:7" x14ac:dyDescent="0.25">
      <c r="A36" s="7" t="s">
        <v>117</v>
      </c>
      <c r="B36" s="19" t="s">
        <v>107</v>
      </c>
      <c r="C36" s="25">
        <v>2</v>
      </c>
      <c r="E36" s="29" t="s">
        <v>204</v>
      </c>
      <c r="F36" s="30" t="s">
        <v>205</v>
      </c>
      <c r="G36" s="31">
        <v>6</v>
      </c>
    </row>
    <row r="37" spans="1:7" x14ac:dyDescent="0.25">
      <c r="A37" s="29" t="s">
        <v>113</v>
      </c>
      <c r="B37" s="30" t="s">
        <v>108</v>
      </c>
      <c r="C37" s="31">
        <v>0</v>
      </c>
      <c r="E37" s="7" t="s">
        <v>150</v>
      </c>
      <c r="F37" s="19" t="s">
        <v>151</v>
      </c>
      <c r="G37" s="25">
        <v>12</v>
      </c>
    </row>
    <row r="38" spans="1:7" x14ac:dyDescent="0.25">
      <c r="A38" s="7" t="s">
        <v>113</v>
      </c>
      <c r="B38" s="19" t="s">
        <v>109</v>
      </c>
      <c r="C38" s="25">
        <v>17</v>
      </c>
      <c r="E38" s="7" t="s">
        <v>113</v>
      </c>
      <c r="F38" s="19" t="s">
        <v>375</v>
      </c>
      <c r="G38" s="25">
        <v>4</v>
      </c>
    </row>
    <row r="39" spans="1:7" x14ac:dyDescent="0.25">
      <c r="A39" s="7" t="s">
        <v>113</v>
      </c>
      <c r="B39" s="19" t="s">
        <v>110</v>
      </c>
      <c r="C39" s="25">
        <v>0</v>
      </c>
      <c r="E39" s="7" t="s">
        <v>150</v>
      </c>
      <c r="F39" s="19" t="s">
        <v>153</v>
      </c>
      <c r="G39" s="25">
        <v>6</v>
      </c>
    </row>
    <row r="40" spans="1:7" x14ac:dyDescent="0.25">
      <c r="A40" s="7" t="s">
        <v>113</v>
      </c>
      <c r="B40" s="19" t="s">
        <v>111</v>
      </c>
      <c r="C40" s="25">
        <v>4</v>
      </c>
      <c r="E40" s="7" t="s">
        <v>150</v>
      </c>
      <c r="F40" s="19" t="s">
        <v>154</v>
      </c>
      <c r="G40" s="25">
        <v>10</v>
      </c>
    </row>
    <row r="41" spans="1:7" x14ac:dyDescent="0.25">
      <c r="A41" s="29" t="s">
        <v>118</v>
      </c>
      <c r="B41" s="30" t="s">
        <v>112</v>
      </c>
      <c r="C41" s="31">
        <v>0</v>
      </c>
      <c r="E41" s="7" t="s">
        <v>150</v>
      </c>
      <c r="F41" s="19" t="s">
        <v>155</v>
      </c>
      <c r="G41" s="25">
        <v>4</v>
      </c>
    </row>
    <row r="42" spans="1:7" x14ac:dyDescent="0.25">
      <c r="A42" s="7" t="s">
        <v>113</v>
      </c>
      <c r="B42" s="19" t="s">
        <v>203</v>
      </c>
      <c r="C42" s="25">
        <v>7</v>
      </c>
      <c r="E42" s="7" t="s">
        <v>150</v>
      </c>
      <c r="F42" s="19" t="s">
        <v>156</v>
      </c>
      <c r="G42" s="25">
        <v>0</v>
      </c>
    </row>
    <row r="43" spans="1:7" x14ac:dyDescent="0.25">
      <c r="A43" s="7" t="s">
        <v>113</v>
      </c>
      <c r="B43" s="19" t="s">
        <v>119</v>
      </c>
      <c r="C43" s="25">
        <v>0</v>
      </c>
      <c r="E43" s="7" t="s">
        <v>113</v>
      </c>
      <c r="F43" s="19" t="s">
        <v>157</v>
      </c>
      <c r="G43" s="25">
        <v>0</v>
      </c>
    </row>
    <row r="44" spans="1:7" x14ac:dyDescent="0.25">
      <c r="A44" s="7" t="s">
        <v>113</v>
      </c>
      <c r="B44" s="19" t="s">
        <v>120</v>
      </c>
      <c r="C44" s="25">
        <v>1</v>
      </c>
      <c r="E44" s="29" t="s">
        <v>113</v>
      </c>
      <c r="F44" s="30" t="s">
        <v>158</v>
      </c>
      <c r="G44" s="31">
        <v>0</v>
      </c>
    </row>
    <row r="45" spans="1:7" x14ac:dyDescent="0.25">
      <c r="A45" s="29" t="s">
        <v>113</v>
      </c>
      <c r="B45" s="30" t="s">
        <v>121</v>
      </c>
      <c r="C45" s="31">
        <v>9</v>
      </c>
      <c r="E45" s="29" t="s">
        <v>113</v>
      </c>
      <c r="F45" s="30" t="s">
        <v>159</v>
      </c>
      <c r="G45" s="31">
        <v>0</v>
      </c>
    </row>
    <row r="46" spans="1:7" x14ac:dyDescent="0.25">
      <c r="E46" s="5"/>
      <c r="F46" s="23"/>
      <c r="G46" s="5"/>
    </row>
    <row r="47" spans="1:7" x14ac:dyDescent="0.25">
      <c r="E47" s="5"/>
      <c r="F47" s="23"/>
      <c r="G47" s="5"/>
    </row>
    <row r="51" spans="1:7" ht="18.75" x14ac:dyDescent="0.3">
      <c r="B51" s="262" t="s">
        <v>264</v>
      </c>
      <c r="C51" s="262"/>
      <c r="D51" s="262"/>
      <c r="E51" s="262"/>
      <c r="F51" s="262"/>
      <c r="G51" s="18"/>
    </row>
    <row r="52" spans="1:7" x14ac:dyDescent="0.25">
      <c r="G52" s="6"/>
    </row>
    <row r="53" spans="1:7" x14ac:dyDescent="0.25">
      <c r="A53" s="20" t="s">
        <v>80</v>
      </c>
      <c r="B53" s="22" t="s">
        <v>0</v>
      </c>
      <c r="C53" s="20" t="s">
        <v>77</v>
      </c>
      <c r="E53" s="20" t="s">
        <v>80</v>
      </c>
      <c r="F53" s="22" t="s">
        <v>0</v>
      </c>
      <c r="G53" s="20" t="s">
        <v>77</v>
      </c>
    </row>
    <row r="54" spans="1:7" x14ac:dyDescent="0.25">
      <c r="A54" s="7" t="s">
        <v>113</v>
      </c>
      <c r="B54" s="19" t="s">
        <v>288</v>
      </c>
      <c r="C54" s="25"/>
      <c r="E54" s="29" t="s">
        <v>185</v>
      </c>
      <c r="F54" s="30" t="s">
        <v>193</v>
      </c>
      <c r="G54" s="39">
        <v>87</v>
      </c>
    </row>
    <row r="55" spans="1:7" x14ac:dyDescent="0.25">
      <c r="A55" s="7" t="s">
        <v>113</v>
      </c>
      <c r="B55" s="19" t="s">
        <v>160</v>
      </c>
      <c r="C55" s="25">
        <v>2312</v>
      </c>
      <c r="E55" s="29" t="s">
        <v>113</v>
      </c>
      <c r="F55" s="30" t="s">
        <v>194</v>
      </c>
      <c r="G55" s="31">
        <v>2</v>
      </c>
    </row>
    <row r="56" spans="1:7" x14ac:dyDescent="0.25">
      <c r="A56" s="7" t="s">
        <v>113</v>
      </c>
      <c r="B56" s="19" t="s">
        <v>161</v>
      </c>
      <c r="C56" s="25">
        <v>4</v>
      </c>
      <c r="E56" s="29" t="s">
        <v>150</v>
      </c>
      <c r="F56" s="30" t="s">
        <v>207</v>
      </c>
      <c r="G56" s="31">
        <v>0</v>
      </c>
    </row>
    <row r="57" spans="1:7" x14ac:dyDescent="0.25">
      <c r="A57" s="7" t="s">
        <v>113</v>
      </c>
      <c r="B57" s="19" t="s">
        <v>162</v>
      </c>
      <c r="C57" s="26">
        <v>0</v>
      </c>
      <c r="E57" s="29" t="s">
        <v>150</v>
      </c>
      <c r="F57" s="30" t="s">
        <v>208</v>
      </c>
      <c r="G57" s="31">
        <v>0</v>
      </c>
    </row>
    <row r="58" spans="1:7" x14ac:dyDescent="0.25">
      <c r="A58" s="7" t="s">
        <v>113</v>
      </c>
      <c r="B58" s="19" t="s">
        <v>163</v>
      </c>
      <c r="C58" s="26">
        <v>81</v>
      </c>
      <c r="E58" s="29" t="s">
        <v>150</v>
      </c>
      <c r="F58" s="30" t="s">
        <v>209</v>
      </c>
      <c r="G58" s="31">
        <v>2</v>
      </c>
    </row>
    <row r="59" spans="1:7" x14ac:dyDescent="0.25">
      <c r="A59" s="7" t="s">
        <v>113</v>
      </c>
      <c r="B59" s="19" t="s">
        <v>164</v>
      </c>
      <c r="C59" s="25">
        <v>0</v>
      </c>
      <c r="E59" s="36" t="s">
        <v>113</v>
      </c>
      <c r="F59" s="37" t="s">
        <v>210</v>
      </c>
      <c r="G59" s="38">
        <v>0</v>
      </c>
    </row>
    <row r="60" spans="1:7" x14ac:dyDescent="0.25">
      <c r="A60" s="7" t="s">
        <v>113</v>
      </c>
      <c r="B60" s="19" t="s">
        <v>165</v>
      </c>
      <c r="C60" s="25">
        <v>0</v>
      </c>
      <c r="E60" s="36" t="s">
        <v>113</v>
      </c>
      <c r="F60" s="37" t="s">
        <v>211</v>
      </c>
      <c r="G60" s="38">
        <v>0</v>
      </c>
    </row>
    <row r="61" spans="1:7" x14ac:dyDescent="0.25">
      <c r="A61" s="7" t="s">
        <v>113</v>
      </c>
      <c r="B61" s="19" t="s">
        <v>166</v>
      </c>
      <c r="C61" s="25">
        <v>0</v>
      </c>
      <c r="E61" s="7" t="s">
        <v>113</v>
      </c>
      <c r="F61" s="19" t="s">
        <v>312</v>
      </c>
      <c r="G61" s="25">
        <v>9</v>
      </c>
    </row>
    <row r="62" spans="1:7" x14ac:dyDescent="0.25">
      <c r="A62" s="7" t="s">
        <v>113</v>
      </c>
      <c r="B62" s="19" t="s">
        <v>167</v>
      </c>
      <c r="C62" s="25">
        <v>38</v>
      </c>
      <c r="E62" s="7" t="s">
        <v>113</v>
      </c>
      <c r="F62" s="19" t="s">
        <v>213</v>
      </c>
      <c r="G62" s="25">
        <v>0</v>
      </c>
    </row>
    <row r="63" spans="1:7" x14ac:dyDescent="0.25">
      <c r="A63" s="7" t="s">
        <v>113</v>
      </c>
      <c r="B63" s="19" t="s">
        <v>168</v>
      </c>
      <c r="C63" s="25">
        <v>0</v>
      </c>
      <c r="E63" s="7" t="s">
        <v>113</v>
      </c>
      <c r="F63" s="19" t="s">
        <v>214</v>
      </c>
      <c r="G63" s="25">
        <v>2</v>
      </c>
    </row>
    <row r="64" spans="1:7" x14ac:dyDescent="0.25">
      <c r="A64" s="7" t="s">
        <v>113</v>
      </c>
      <c r="B64" s="19" t="s">
        <v>169</v>
      </c>
      <c r="C64" s="25">
        <v>3</v>
      </c>
      <c r="E64" s="7" t="s">
        <v>113</v>
      </c>
      <c r="F64" s="19" t="s">
        <v>215</v>
      </c>
      <c r="G64" s="25">
        <v>0</v>
      </c>
    </row>
    <row r="65" spans="1:7" x14ac:dyDescent="0.25">
      <c r="A65" s="7" t="s">
        <v>113</v>
      </c>
      <c r="B65" s="19" t="s">
        <v>170</v>
      </c>
      <c r="C65" s="25">
        <v>116</v>
      </c>
      <c r="E65" s="7" t="s">
        <v>113</v>
      </c>
      <c r="F65" s="19" t="s">
        <v>216</v>
      </c>
      <c r="G65" s="25">
        <v>200</v>
      </c>
    </row>
    <row r="66" spans="1:7" x14ac:dyDescent="0.25">
      <c r="A66" s="7" t="s">
        <v>113</v>
      </c>
      <c r="B66" s="19" t="s">
        <v>171</v>
      </c>
      <c r="C66" s="25">
        <v>9</v>
      </c>
      <c r="E66" s="7" t="s">
        <v>113</v>
      </c>
      <c r="F66" s="19" t="s">
        <v>265</v>
      </c>
      <c r="G66" s="25">
        <v>5</v>
      </c>
    </row>
    <row r="67" spans="1:7" x14ac:dyDescent="0.25">
      <c r="A67" s="7" t="s">
        <v>113</v>
      </c>
      <c r="B67" s="19" t="s">
        <v>172</v>
      </c>
      <c r="C67" s="25">
        <v>1</v>
      </c>
      <c r="E67" s="7" t="s">
        <v>113</v>
      </c>
      <c r="F67" s="19" t="s">
        <v>217</v>
      </c>
      <c r="G67" s="25">
        <v>1</v>
      </c>
    </row>
    <row r="68" spans="1:7" x14ac:dyDescent="0.25">
      <c r="A68" s="7" t="s">
        <v>113</v>
      </c>
      <c r="B68" s="19" t="s">
        <v>303</v>
      </c>
      <c r="C68" s="25">
        <v>2</v>
      </c>
      <c r="E68" s="7" t="s">
        <v>113</v>
      </c>
      <c r="F68" s="19" t="s">
        <v>218</v>
      </c>
      <c r="G68" s="25">
        <v>0</v>
      </c>
    </row>
    <row r="69" spans="1:7" x14ac:dyDescent="0.25">
      <c r="A69" s="29" t="s">
        <v>113</v>
      </c>
      <c r="B69" s="30" t="s">
        <v>173</v>
      </c>
      <c r="C69" s="31">
        <v>0</v>
      </c>
      <c r="E69" s="7" t="s">
        <v>113</v>
      </c>
      <c r="F69" s="19" t="s">
        <v>219</v>
      </c>
      <c r="G69" s="25">
        <v>1</v>
      </c>
    </row>
    <row r="70" spans="1:7" x14ac:dyDescent="0.25">
      <c r="A70" s="7" t="s">
        <v>113</v>
      </c>
      <c r="B70" s="19" t="s">
        <v>174</v>
      </c>
      <c r="C70" s="25">
        <v>1</v>
      </c>
      <c r="E70" s="7" t="s">
        <v>113</v>
      </c>
      <c r="F70" s="19" t="s">
        <v>220</v>
      </c>
      <c r="G70" s="25">
        <v>1</v>
      </c>
    </row>
    <row r="71" spans="1:7" x14ac:dyDescent="0.25">
      <c r="A71" s="7" t="s">
        <v>113</v>
      </c>
      <c r="B71" s="19" t="s">
        <v>175</v>
      </c>
      <c r="C71" s="25">
        <v>1</v>
      </c>
      <c r="E71" s="7" t="s">
        <v>113</v>
      </c>
      <c r="F71" s="19" t="s">
        <v>221</v>
      </c>
      <c r="G71" s="25">
        <v>1</v>
      </c>
    </row>
    <row r="72" spans="1:7" x14ac:dyDescent="0.25">
      <c r="A72" s="7" t="s">
        <v>113</v>
      </c>
      <c r="B72" s="19" t="s">
        <v>176</v>
      </c>
      <c r="C72" s="25">
        <v>0</v>
      </c>
      <c r="E72" s="7" t="s">
        <v>113</v>
      </c>
      <c r="F72" s="19" t="s">
        <v>222</v>
      </c>
      <c r="G72" s="25">
        <v>2</v>
      </c>
    </row>
    <row r="73" spans="1:7" x14ac:dyDescent="0.25">
      <c r="A73" s="7" t="s">
        <v>131</v>
      </c>
      <c r="B73" s="19" t="s">
        <v>177</v>
      </c>
      <c r="C73" s="25">
        <v>1</v>
      </c>
      <c r="E73" s="7" t="s">
        <v>113</v>
      </c>
      <c r="F73" s="19" t="s">
        <v>223</v>
      </c>
      <c r="G73" s="25">
        <v>0</v>
      </c>
    </row>
    <row r="74" spans="1:7" x14ac:dyDescent="0.25">
      <c r="A74" s="7" t="s">
        <v>115</v>
      </c>
      <c r="B74" s="19" t="s">
        <v>178</v>
      </c>
      <c r="C74" s="24">
        <v>1</v>
      </c>
      <c r="E74" s="7" t="s">
        <v>113</v>
      </c>
      <c r="F74" s="19" t="s">
        <v>282</v>
      </c>
      <c r="G74" s="25">
        <v>0</v>
      </c>
    </row>
    <row r="75" spans="1:7" x14ac:dyDescent="0.25">
      <c r="A75" s="7" t="s">
        <v>113</v>
      </c>
      <c r="B75" s="19" t="s">
        <v>179</v>
      </c>
      <c r="C75" s="25">
        <v>68</v>
      </c>
      <c r="E75" s="7" t="s">
        <v>113</v>
      </c>
      <c r="F75" s="19" t="s">
        <v>224</v>
      </c>
      <c r="G75" s="25">
        <v>4</v>
      </c>
    </row>
    <row r="76" spans="1:7" x14ac:dyDescent="0.25">
      <c r="A76" s="29" t="s">
        <v>185</v>
      </c>
      <c r="B76" s="30" t="s">
        <v>206</v>
      </c>
      <c r="C76" s="39">
        <v>14.5</v>
      </c>
      <c r="E76" s="7" t="s">
        <v>113</v>
      </c>
      <c r="F76" s="19" t="s">
        <v>225</v>
      </c>
      <c r="G76" s="25">
        <v>1</v>
      </c>
    </row>
    <row r="77" spans="1:7" x14ac:dyDescent="0.25">
      <c r="A77" s="7" t="s">
        <v>113</v>
      </c>
      <c r="B77" s="19" t="s">
        <v>180</v>
      </c>
      <c r="C77" s="25">
        <v>8</v>
      </c>
      <c r="E77" s="7" t="s">
        <v>113</v>
      </c>
      <c r="F77" s="19" t="s">
        <v>226</v>
      </c>
      <c r="G77" s="25">
        <v>23</v>
      </c>
    </row>
    <row r="78" spans="1:7" x14ac:dyDescent="0.25">
      <c r="A78" s="7" t="s">
        <v>113</v>
      </c>
      <c r="B78" s="19" t="s">
        <v>181</v>
      </c>
      <c r="C78" s="25" t="s">
        <v>384</v>
      </c>
      <c r="E78" s="7" t="s">
        <v>185</v>
      </c>
      <c r="F78" s="19" t="s">
        <v>227</v>
      </c>
      <c r="G78" s="25">
        <v>7</v>
      </c>
    </row>
    <row r="79" spans="1:7" x14ac:dyDescent="0.25">
      <c r="A79" s="7" t="s">
        <v>185</v>
      </c>
      <c r="B79" s="19" t="s">
        <v>212</v>
      </c>
      <c r="C79" s="24">
        <v>2.5</v>
      </c>
      <c r="E79" s="7" t="s">
        <v>113</v>
      </c>
      <c r="F79" s="19" t="s">
        <v>228</v>
      </c>
      <c r="G79" s="25">
        <v>0</v>
      </c>
    </row>
    <row r="80" spans="1:7" x14ac:dyDescent="0.25">
      <c r="A80" s="7" t="s">
        <v>113</v>
      </c>
      <c r="B80" s="19" t="s">
        <v>182</v>
      </c>
      <c r="C80" s="25">
        <v>7</v>
      </c>
      <c r="E80" s="7" t="s">
        <v>113</v>
      </c>
      <c r="F80" s="19" t="s">
        <v>229</v>
      </c>
      <c r="G80" s="25">
        <v>0</v>
      </c>
    </row>
    <row r="81" spans="1:7" x14ac:dyDescent="0.25">
      <c r="A81" s="7" t="s">
        <v>113</v>
      </c>
      <c r="B81" s="19" t="s">
        <v>183</v>
      </c>
      <c r="C81" s="25">
        <v>0</v>
      </c>
      <c r="E81" s="7" t="s">
        <v>237</v>
      </c>
      <c r="F81" s="19" t="s">
        <v>230</v>
      </c>
      <c r="G81" s="25">
        <v>0</v>
      </c>
    </row>
    <row r="82" spans="1:7" x14ac:dyDescent="0.25">
      <c r="A82" s="7" t="s">
        <v>115</v>
      </c>
      <c r="B82" s="19" t="s">
        <v>184</v>
      </c>
      <c r="C82" s="25">
        <v>0</v>
      </c>
      <c r="E82" s="7" t="s">
        <v>113</v>
      </c>
      <c r="F82" s="19" t="s">
        <v>231</v>
      </c>
      <c r="G82" s="25">
        <v>0</v>
      </c>
    </row>
    <row r="83" spans="1:7" x14ac:dyDescent="0.25">
      <c r="A83" s="29" t="s">
        <v>113</v>
      </c>
      <c r="B83" s="30" t="s">
        <v>199</v>
      </c>
      <c r="C83" s="31">
        <v>282</v>
      </c>
      <c r="E83" s="7" t="s">
        <v>113</v>
      </c>
      <c r="F83" s="19" t="s">
        <v>232</v>
      </c>
      <c r="G83" s="25">
        <v>0</v>
      </c>
    </row>
    <row r="84" spans="1:7" x14ac:dyDescent="0.25">
      <c r="A84" s="7" t="s">
        <v>185</v>
      </c>
      <c r="B84" s="19" t="s">
        <v>186</v>
      </c>
      <c r="C84" s="25">
        <v>0</v>
      </c>
      <c r="D84" s="27"/>
      <c r="E84" s="7" t="s">
        <v>113</v>
      </c>
      <c r="F84" s="19" t="s">
        <v>233</v>
      </c>
      <c r="G84" s="25">
        <v>120</v>
      </c>
    </row>
    <row r="85" spans="1:7" x14ac:dyDescent="0.25">
      <c r="A85" s="7" t="s">
        <v>185</v>
      </c>
      <c r="B85" s="19" t="s">
        <v>187</v>
      </c>
      <c r="C85" s="25">
        <v>30</v>
      </c>
      <c r="E85" s="7" t="s">
        <v>113</v>
      </c>
      <c r="F85" s="19" t="s">
        <v>234</v>
      </c>
      <c r="G85" s="25">
        <v>1</v>
      </c>
    </row>
    <row r="86" spans="1:7" x14ac:dyDescent="0.25">
      <c r="A86" s="7" t="s">
        <v>185</v>
      </c>
      <c r="B86" s="19" t="s">
        <v>188</v>
      </c>
      <c r="C86" s="25">
        <v>20</v>
      </c>
      <c r="E86" s="7" t="s">
        <v>113</v>
      </c>
      <c r="F86" s="19" t="s">
        <v>235</v>
      </c>
      <c r="G86" s="25">
        <v>0</v>
      </c>
    </row>
    <row r="87" spans="1:7" x14ac:dyDescent="0.25">
      <c r="A87" s="7" t="s">
        <v>185</v>
      </c>
      <c r="B87" s="19" t="s">
        <v>189</v>
      </c>
      <c r="C87" s="25">
        <v>10</v>
      </c>
      <c r="E87" s="7" t="s">
        <v>113</v>
      </c>
      <c r="F87" s="19" t="s">
        <v>236</v>
      </c>
      <c r="G87" s="25">
        <v>4</v>
      </c>
    </row>
    <row r="88" spans="1:7" x14ac:dyDescent="0.25">
      <c r="A88" s="7" t="s">
        <v>185</v>
      </c>
      <c r="B88" s="19" t="s">
        <v>190</v>
      </c>
      <c r="C88" s="25">
        <v>0</v>
      </c>
      <c r="E88" s="7" t="s">
        <v>113</v>
      </c>
      <c r="F88" s="19" t="s">
        <v>238</v>
      </c>
      <c r="G88" s="25">
        <v>2</v>
      </c>
    </row>
    <row r="89" spans="1:7" x14ac:dyDescent="0.25">
      <c r="A89" s="7" t="s">
        <v>185</v>
      </c>
      <c r="B89" s="19" t="s">
        <v>191</v>
      </c>
      <c r="C89" s="25">
        <v>20</v>
      </c>
      <c r="E89" s="7" t="s">
        <v>113</v>
      </c>
      <c r="F89" s="19" t="s">
        <v>239</v>
      </c>
      <c r="G89" s="25">
        <v>3</v>
      </c>
    </row>
    <row r="90" spans="1:7" x14ac:dyDescent="0.25">
      <c r="A90" s="7" t="s">
        <v>185</v>
      </c>
      <c r="B90" s="19" t="s">
        <v>192</v>
      </c>
      <c r="C90" s="25">
        <v>13</v>
      </c>
      <c r="E90" s="7" t="s">
        <v>113</v>
      </c>
      <c r="F90" s="19" t="s">
        <v>240</v>
      </c>
      <c r="G90" s="25">
        <v>0</v>
      </c>
    </row>
    <row r="96" spans="1:7" ht="18.75" x14ac:dyDescent="0.3">
      <c r="B96" s="262" t="s">
        <v>263</v>
      </c>
      <c r="C96" s="262"/>
      <c r="D96" s="262"/>
      <c r="E96" s="262"/>
      <c r="F96" s="262"/>
      <c r="G96" s="18"/>
    </row>
    <row r="97" spans="1:7" x14ac:dyDescent="0.25">
      <c r="G97" s="6"/>
    </row>
    <row r="98" spans="1:7" x14ac:dyDescent="0.25">
      <c r="A98" s="20" t="s">
        <v>80</v>
      </c>
      <c r="B98" s="22" t="s">
        <v>0</v>
      </c>
      <c r="C98" s="20" t="s">
        <v>77</v>
      </c>
      <c r="E98" s="20" t="s">
        <v>80</v>
      </c>
      <c r="F98" s="22" t="s">
        <v>0</v>
      </c>
      <c r="G98" s="20" t="s">
        <v>77</v>
      </c>
    </row>
    <row r="99" spans="1:7" x14ac:dyDescent="0.25">
      <c r="A99" s="7" t="s">
        <v>113</v>
      </c>
      <c r="B99" s="19" t="s">
        <v>241</v>
      </c>
      <c r="C99" s="25">
        <v>1</v>
      </c>
      <c r="E99" s="7"/>
      <c r="F99" s="19"/>
      <c r="G99" s="25"/>
    </row>
    <row r="100" spans="1:7" x14ac:dyDescent="0.25">
      <c r="A100" s="7" t="s">
        <v>113</v>
      </c>
      <c r="B100" s="19" t="s">
        <v>311</v>
      </c>
      <c r="C100" s="25">
        <v>2</v>
      </c>
      <c r="E100" s="7"/>
      <c r="F100" s="19"/>
      <c r="G100" s="25"/>
    </row>
    <row r="101" spans="1:7" x14ac:dyDescent="0.25">
      <c r="A101" s="7" t="s">
        <v>113</v>
      </c>
      <c r="B101" s="19" t="s">
        <v>245</v>
      </c>
      <c r="C101" s="25">
        <v>0</v>
      </c>
      <c r="E101" s="7"/>
      <c r="F101" s="19"/>
      <c r="G101" s="25"/>
    </row>
    <row r="102" spans="1:7" x14ac:dyDescent="0.25">
      <c r="A102" s="7" t="s">
        <v>113</v>
      </c>
      <c r="B102" s="19" t="s">
        <v>246</v>
      </c>
      <c r="C102" s="26">
        <v>0</v>
      </c>
      <c r="E102" s="7"/>
      <c r="F102" s="19"/>
      <c r="G102" s="26"/>
    </row>
    <row r="103" spans="1:7" x14ac:dyDescent="0.25">
      <c r="A103" s="7" t="s">
        <v>113</v>
      </c>
      <c r="B103" s="19" t="s">
        <v>247</v>
      </c>
      <c r="C103" s="26">
        <v>0</v>
      </c>
      <c r="E103" s="7"/>
      <c r="F103" s="19"/>
      <c r="G103" s="26"/>
    </row>
    <row r="104" spans="1:7" x14ac:dyDescent="0.25">
      <c r="A104" s="29" t="s">
        <v>113</v>
      </c>
      <c r="B104" s="30" t="s">
        <v>248</v>
      </c>
      <c r="C104" s="31">
        <v>2</v>
      </c>
      <c r="E104" s="7"/>
      <c r="F104" s="19"/>
      <c r="G104" s="25"/>
    </row>
    <row r="105" spans="1:7" x14ac:dyDescent="0.25">
      <c r="A105" s="7" t="s">
        <v>113</v>
      </c>
      <c r="B105" s="19" t="s">
        <v>266</v>
      </c>
      <c r="C105" s="25">
        <v>0</v>
      </c>
      <c r="E105" s="7"/>
      <c r="F105" s="19"/>
      <c r="G105" s="25"/>
    </row>
    <row r="106" spans="1:7" x14ac:dyDescent="0.25">
      <c r="A106" s="7" t="s">
        <v>113</v>
      </c>
      <c r="B106" s="19" t="s">
        <v>267</v>
      </c>
      <c r="C106" s="25">
        <v>0</v>
      </c>
      <c r="E106" s="7"/>
      <c r="F106" s="19"/>
      <c r="G106" s="25"/>
    </row>
    <row r="107" spans="1:7" x14ac:dyDescent="0.25">
      <c r="A107" s="7" t="s">
        <v>113</v>
      </c>
      <c r="B107" s="19" t="s">
        <v>268</v>
      </c>
      <c r="C107" s="25">
        <v>0</v>
      </c>
      <c r="E107" s="7"/>
      <c r="F107" s="19"/>
      <c r="G107" s="25"/>
    </row>
    <row r="108" spans="1:7" x14ac:dyDescent="0.25">
      <c r="A108" s="7" t="s">
        <v>113</v>
      </c>
      <c r="B108" s="19" t="s">
        <v>281</v>
      </c>
      <c r="C108" s="25">
        <v>0</v>
      </c>
      <c r="E108" s="7"/>
      <c r="F108" s="19"/>
      <c r="G108" s="25"/>
    </row>
    <row r="109" spans="1:7" x14ac:dyDescent="0.25">
      <c r="A109" s="7" t="s">
        <v>237</v>
      </c>
      <c r="B109" s="19" t="s">
        <v>270</v>
      </c>
      <c r="C109" s="24">
        <v>20</v>
      </c>
      <c r="E109" s="7"/>
      <c r="F109" s="19"/>
      <c r="G109" s="25"/>
    </row>
    <row r="110" spans="1:7" x14ac:dyDescent="0.25">
      <c r="A110" s="7" t="s">
        <v>113</v>
      </c>
      <c r="B110" s="19" t="s">
        <v>271</v>
      </c>
      <c r="C110" s="25">
        <v>2</v>
      </c>
      <c r="E110" s="7"/>
      <c r="F110" s="19"/>
      <c r="G110" s="25"/>
    </row>
    <row r="111" spans="1:7" x14ac:dyDescent="0.25">
      <c r="A111" s="7" t="s">
        <v>113</v>
      </c>
      <c r="B111" s="19" t="s">
        <v>272</v>
      </c>
      <c r="C111" s="25">
        <v>3</v>
      </c>
      <c r="E111" s="7"/>
      <c r="F111" s="19"/>
      <c r="G111" s="25"/>
    </row>
    <row r="112" spans="1:7" x14ac:dyDescent="0.25">
      <c r="A112" s="7" t="s">
        <v>113</v>
      </c>
      <c r="B112" s="19" t="s">
        <v>273</v>
      </c>
      <c r="C112" s="25">
        <v>0</v>
      </c>
      <c r="E112" s="7"/>
      <c r="F112" s="19"/>
      <c r="G112" s="25"/>
    </row>
    <row r="113" spans="1:7" x14ac:dyDescent="0.25">
      <c r="A113" s="7" t="s">
        <v>113</v>
      </c>
      <c r="B113" s="19" t="s">
        <v>90</v>
      </c>
      <c r="C113" s="25">
        <v>2</v>
      </c>
      <c r="E113" s="7"/>
      <c r="F113" s="19"/>
      <c r="G113" s="25"/>
    </row>
    <row r="114" spans="1:7" x14ac:dyDescent="0.25">
      <c r="A114" s="7" t="s">
        <v>113</v>
      </c>
      <c r="B114" s="19" t="s">
        <v>91</v>
      </c>
      <c r="C114" s="25">
        <v>1</v>
      </c>
      <c r="E114" s="7"/>
      <c r="F114" s="19"/>
      <c r="G114" s="25"/>
    </row>
    <row r="115" spans="1:7" x14ac:dyDescent="0.25">
      <c r="A115" s="7" t="s">
        <v>113</v>
      </c>
      <c r="B115" s="19" t="s">
        <v>92</v>
      </c>
      <c r="C115" s="25">
        <v>3</v>
      </c>
      <c r="E115" s="7"/>
      <c r="F115" s="19"/>
      <c r="G115" s="25"/>
    </row>
    <row r="116" spans="1:7" x14ac:dyDescent="0.25">
      <c r="A116" s="7" t="s">
        <v>237</v>
      </c>
      <c r="B116" s="19" t="s">
        <v>309</v>
      </c>
      <c r="C116" s="24">
        <v>20</v>
      </c>
      <c r="E116" s="7"/>
      <c r="F116" s="19"/>
      <c r="G116" s="25"/>
    </row>
    <row r="117" spans="1:7" x14ac:dyDescent="0.25">
      <c r="A117" s="7" t="s">
        <v>113</v>
      </c>
      <c r="B117" s="19" t="s">
        <v>315</v>
      </c>
      <c r="C117" s="25">
        <v>0</v>
      </c>
      <c r="E117" s="7"/>
      <c r="F117" s="19"/>
      <c r="G117" s="25"/>
    </row>
    <row r="118" spans="1:7" x14ac:dyDescent="0.25">
      <c r="A118" s="7" t="s">
        <v>113</v>
      </c>
      <c r="B118" s="19" t="s">
        <v>316</v>
      </c>
      <c r="C118" s="25">
        <v>1</v>
      </c>
      <c r="E118" s="7"/>
      <c r="F118" s="19"/>
      <c r="G118" s="25"/>
    </row>
    <row r="119" spans="1:7" x14ac:dyDescent="0.25">
      <c r="A119" s="7" t="s">
        <v>113</v>
      </c>
      <c r="B119" s="19" t="s">
        <v>369</v>
      </c>
      <c r="C119" s="24">
        <v>7</v>
      </c>
      <c r="E119" s="7"/>
      <c r="F119" s="19"/>
      <c r="G119" s="24"/>
    </row>
    <row r="120" spans="1:7" x14ac:dyDescent="0.25">
      <c r="A120" s="7" t="s">
        <v>113</v>
      </c>
      <c r="B120" s="19" t="s">
        <v>376</v>
      </c>
      <c r="C120" s="25">
        <v>11</v>
      </c>
      <c r="E120" s="7"/>
      <c r="F120" s="19"/>
      <c r="G120" s="25"/>
    </row>
    <row r="121" spans="1:7" x14ac:dyDescent="0.25">
      <c r="A121" s="7" t="s">
        <v>113</v>
      </c>
      <c r="B121" s="19" t="s">
        <v>377</v>
      </c>
      <c r="C121" s="25">
        <v>15</v>
      </c>
      <c r="E121" s="7"/>
      <c r="F121" s="19"/>
      <c r="G121" s="25"/>
    </row>
    <row r="122" spans="1:7" x14ac:dyDescent="0.25">
      <c r="A122" s="7" t="s">
        <v>113</v>
      </c>
      <c r="B122" s="19" t="s">
        <v>378</v>
      </c>
      <c r="C122" s="25">
        <v>36</v>
      </c>
      <c r="E122" s="7"/>
      <c r="F122" s="19"/>
      <c r="G122" s="25"/>
    </row>
    <row r="123" spans="1:7" x14ac:dyDescent="0.25">
      <c r="A123" s="7" t="s">
        <v>113</v>
      </c>
      <c r="B123" s="19" t="s">
        <v>379</v>
      </c>
      <c r="C123" s="25">
        <v>22</v>
      </c>
      <c r="E123" s="7"/>
      <c r="F123" s="19"/>
      <c r="G123" s="25"/>
    </row>
    <row r="124" spans="1:7" x14ac:dyDescent="0.25">
      <c r="A124" s="7" t="s">
        <v>113</v>
      </c>
      <c r="B124" s="19" t="s">
        <v>380</v>
      </c>
      <c r="C124" s="25">
        <v>3</v>
      </c>
      <c r="E124" s="7"/>
      <c r="F124" s="19"/>
      <c r="G124" s="25"/>
    </row>
    <row r="125" spans="1:7" x14ac:dyDescent="0.25">
      <c r="A125" s="7" t="s">
        <v>113</v>
      </c>
      <c r="B125" s="19" t="s">
        <v>381</v>
      </c>
      <c r="C125" s="25">
        <v>1</v>
      </c>
      <c r="E125" s="7"/>
      <c r="F125" s="19"/>
      <c r="G125" s="25"/>
    </row>
    <row r="126" spans="1:7" x14ac:dyDescent="0.25">
      <c r="A126" s="7" t="s">
        <v>113</v>
      </c>
      <c r="B126" s="19" t="s">
        <v>382</v>
      </c>
      <c r="C126" s="25">
        <v>20</v>
      </c>
      <c r="E126" s="7"/>
      <c r="F126" s="19"/>
      <c r="G126" s="25"/>
    </row>
    <row r="127" spans="1:7" x14ac:dyDescent="0.25">
      <c r="A127" s="7" t="s">
        <v>113</v>
      </c>
      <c r="B127" s="19" t="s">
        <v>383</v>
      </c>
      <c r="C127" s="25">
        <v>88</v>
      </c>
      <c r="E127" s="7"/>
      <c r="F127" s="19"/>
      <c r="G127" s="25"/>
    </row>
    <row r="128" spans="1:7" x14ac:dyDescent="0.25">
      <c r="A128" s="7"/>
      <c r="B128" s="19"/>
      <c r="C128" s="25"/>
      <c r="E128" s="7"/>
      <c r="F128" s="19"/>
      <c r="G128" s="25"/>
    </row>
    <row r="129" spans="1:7" x14ac:dyDescent="0.25">
      <c r="A129" s="7"/>
      <c r="B129" s="19"/>
      <c r="C129" s="25"/>
      <c r="D129" s="27"/>
      <c r="E129" s="7"/>
      <c r="F129" s="19"/>
      <c r="G129" s="25"/>
    </row>
    <row r="130" spans="1:7" x14ac:dyDescent="0.25">
      <c r="A130" s="7"/>
      <c r="B130" s="19"/>
      <c r="C130" s="25"/>
      <c r="E130" s="7"/>
      <c r="F130" s="19"/>
      <c r="G130" s="25"/>
    </row>
    <row r="131" spans="1:7" x14ac:dyDescent="0.25">
      <c r="A131" s="7"/>
      <c r="B131" s="19"/>
      <c r="C131" s="25"/>
      <c r="E131" s="7"/>
      <c r="F131" s="19"/>
      <c r="G131" s="25"/>
    </row>
    <row r="132" spans="1:7" x14ac:dyDescent="0.25">
      <c r="A132" s="7"/>
      <c r="B132" s="19"/>
      <c r="C132" s="25"/>
      <c r="E132" s="7"/>
      <c r="F132" s="19"/>
      <c r="G132" s="25"/>
    </row>
    <row r="133" spans="1:7" x14ac:dyDescent="0.25">
      <c r="A133" s="7"/>
      <c r="B133" s="19"/>
      <c r="C133" s="25"/>
      <c r="E133" s="7"/>
      <c r="F133" s="19"/>
      <c r="G133" s="25"/>
    </row>
    <row r="134" spans="1:7" x14ac:dyDescent="0.25">
      <c r="A134" s="7"/>
      <c r="B134" s="19"/>
      <c r="C134" s="25"/>
      <c r="E134" s="7"/>
      <c r="F134" s="19"/>
      <c r="G134" s="25"/>
    </row>
    <row r="135" spans="1:7" x14ac:dyDescent="0.25">
      <c r="A135" s="7"/>
      <c r="B135" s="19"/>
      <c r="C135" s="25"/>
      <c r="E135" s="7"/>
      <c r="F135" s="19"/>
      <c r="G135" s="25"/>
    </row>
  </sheetData>
  <mergeCells count="4">
    <mergeCell ref="B6:F6"/>
    <mergeCell ref="B51:F51"/>
    <mergeCell ref="B96:F96"/>
    <mergeCell ref="A7:C7"/>
  </mergeCells>
  <pageMargins left="0.25" right="0.25" top="0.75" bottom="0.75" header="0.3" footer="0.3"/>
  <pageSetup fitToWidth="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G184"/>
  <sheetViews>
    <sheetView showGridLines="0" view="pageLayout" topLeftCell="A14" zoomScaleNormal="100" workbookViewId="0">
      <selection activeCell="G65" sqref="G65"/>
    </sheetView>
  </sheetViews>
  <sheetFormatPr baseColWidth="10" defaultRowHeight="15" x14ac:dyDescent="0.25"/>
  <cols>
    <col min="1" max="1" width="9" style="1" bestFit="1" customWidth="1"/>
    <col min="2" max="2" width="23.5703125" style="21" customWidth="1"/>
    <col min="3" max="3" width="10.42578125" style="1" bestFit="1" customWidth="1"/>
    <col min="4" max="4" width="10.85546875" style="1" customWidth="1"/>
    <col min="5" max="5" width="8.7109375" style="1" bestFit="1" customWidth="1"/>
    <col min="6" max="6" width="26.42578125" style="21" customWidth="1"/>
    <col min="7" max="7" width="10.7109375" style="1" bestFit="1" customWidth="1"/>
    <col min="8" max="16384" width="11.42578125" style="1"/>
  </cols>
  <sheetData>
    <row r="1" spans="1:7" ht="15" customHeight="1" x14ac:dyDescent="0.25">
      <c r="E1" s="5"/>
      <c r="F1" s="23"/>
      <c r="G1" s="5"/>
    </row>
    <row r="2" spans="1:7" x14ac:dyDescent="0.25">
      <c r="E2" s="5"/>
      <c r="F2" s="23"/>
      <c r="G2" s="5"/>
    </row>
    <row r="3" spans="1:7" ht="15.75" customHeight="1" x14ac:dyDescent="0.25"/>
    <row r="6" spans="1:7" ht="18.75" x14ac:dyDescent="0.3">
      <c r="B6" s="262" t="s">
        <v>263</v>
      </c>
      <c r="C6" s="262"/>
      <c r="D6" s="262"/>
      <c r="E6" s="262"/>
      <c r="F6" s="262"/>
      <c r="G6" s="18"/>
    </row>
    <row r="7" spans="1:7" x14ac:dyDescent="0.25">
      <c r="A7" s="264" t="s">
        <v>318</v>
      </c>
      <c r="B7" s="264"/>
      <c r="C7" s="264"/>
      <c r="D7" s="119"/>
      <c r="E7" s="264" t="s">
        <v>318</v>
      </c>
      <c r="F7" s="264"/>
      <c r="G7" s="264"/>
    </row>
    <row r="8" spans="1:7" ht="17.25" customHeight="1" x14ac:dyDescent="0.25">
      <c r="A8" s="20" t="s">
        <v>80</v>
      </c>
      <c r="B8" s="22" t="s">
        <v>0</v>
      </c>
      <c r="C8" s="20" t="s">
        <v>77</v>
      </c>
      <c r="E8" s="20" t="s">
        <v>80</v>
      </c>
      <c r="F8" s="22" t="s">
        <v>0</v>
      </c>
      <c r="G8" s="20" t="s">
        <v>77</v>
      </c>
    </row>
    <row r="9" spans="1:7" x14ac:dyDescent="0.25">
      <c r="A9" s="7" t="s">
        <v>113</v>
      </c>
      <c r="B9" s="19" t="s">
        <v>81</v>
      </c>
      <c r="C9" s="25">
        <v>0</v>
      </c>
      <c r="E9" s="7" t="s">
        <v>185</v>
      </c>
      <c r="F9" s="19" t="s">
        <v>212</v>
      </c>
      <c r="G9" s="24">
        <v>0</v>
      </c>
    </row>
    <row r="10" spans="1:7" x14ac:dyDescent="0.25">
      <c r="A10" s="7" t="s">
        <v>113</v>
      </c>
      <c r="B10" s="19" t="s">
        <v>84</v>
      </c>
      <c r="C10" s="25">
        <v>0</v>
      </c>
      <c r="E10" s="7" t="s">
        <v>113</v>
      </c>
      <c r="F10" s="19" t="s">
        <v>182</v>
      </c>
      <c r="G10" s="25">
        <v>0</v>
      </c>
    </row>
    <row r="11" spans="1:7" x14ac:dyDescent="0.25">
      <c r="A11" s="7" t="s">
        <v>113</v>
      </c>
      <c r="B11" s="19" t="s">
        <v>85</v>
      </c>
      <c r="C11" s="25">
        <v>0</v>
      </c>
      <c r="E11" s="7" t="s">
        <v>113</v>
      </c>
      <c r="F11" s="19" t="s">
        <v>183</v>
      </c>
      <c r="G11" s="25">
        <v>0</v>
      </c>
    </row>
    <row r="12" spans="1:7" x14ac:dyDescent="0.25">
      <c r="A12" s="7" t="s">
        <v>113</v>
      </c>
      <c r="B12" s="19" t="s">
        <v>499</v>
      </c>
      <c r="C12" s="25">
        <v>60</v>
      </c>
      <c r="E12" s="7" t="s">
        <v>115</v>
      </c>
      <c r="F12" s="19" t="s">
        <v>184</v>
      </c>
      <c r="G12" s="25">
        <v>0</v>
      </c>
    </row>
    <row r="13" spans="1:7" x14ac:dyDescent="0.25">
      <c r="A13" s="7" t="s">
        <v>113</v>
      </c>
      <c r="B13" s="19" t="s">
        <v>93</v>
      </c>
      <c r="C13" s="25">
        <v>0</v>
      </c>
      <c r="E13" s="7" t="s">
        <v>113</v>
      </c>
      <c r="F13" s="19" t="s">
        <v>369</v>
      </c>
      <c r="G13" s="24">
        <v>6</v>
      </c>
    </row>
    <row r="14" spans="1:7" x14ac:dyDescent="0.25">
      <c r="A14" s="7" t="s">
        <v>113</v>
      </c>
      <c r="B14" s="19" t="s">
        <v>94</v>
      </c>
      <c r="C14" s="25">
        <v>0</v>
      </c>
      <c r="E14" s="7" t="s">
        <v>113</v>
      </c>
      <c r="F14" s="19" t="s">
        <v>210</v>
      </c>
      <c r="G14" s="25">
        <v>0</v>
      </c>
    </row>
    <row r="15" spans="1:7" x14ac:dyDescent="0.25">
      <c r="A15" s="7" t="s">
        <v>113</v>
      </c>
      <c r="B15" s="19" t="s">
        <v>95</v>
      </c>
      <c r="C15" s="25">
        <v>0</v>
      </c>
      <c r="E15" s="7" t="s">
        <v>113</v>
      </c>
      <c r="F15" s="19" t="s">
        <v>211</v>
      </c>
      <c r="G15" s="25">
        <v>0</v>
      </c>
    </row>
    <row r="16" spans="1:7" x14ac:dyDescent="0.25">
      <c r="A16" s="7" t="s">
        <v>115</v>
      </c>
      <c r="B16" s="19" t="s">
        <v>415</v>
      </c>
      <c r="C16" s="25">
        <v>4</v>
      </c>
      <c r="D16" s="28"/>
      <c r="E16" s="7" t="s">
        <v>113</v>
      </c>
      <c r="F16" s="19" t="s">
        <v>312</v>
      </c>
      <c r="G16" s="25">
        <v>9</v>
      </c>
    </row>
    <row r="17" spans="1:7" x14ac:dyDescent="0.25">
      <c r="A17" s="7" t="s">
        <v>116</v>
      </c>
      <c r="B17" s="19" t="s">
        <v>394</v>
      </c>
      <c r="C17" s="24">
        <v>2</v>
      </c>
      <c r="D17" s="28"/>
      <c r="E17" s="7" t="s">
        <v>113</v>
      </c>
      <c r="F17" s="19" t="s">
        <v>213</v>
      </c>
      <c r="G17" s="25">
        <v>0</v>
      </c>
    </row>
    <row r="18" spans="1:7" x14ac:dyDescent="0.25">
      <c r="A18" s="7" t="s">
        <v>113</v>
      </c>
      <c r="B18" s="19" t="s">
        <v>417</v>
      </c>
      <c r="C18" s="25">
        <v>0</v>
      </c>
      <c r="E18" s="7" t="s">
        <v>113</v>
      </c>
      <c r="F18" s="19" t="s">
        <v>214</v>
      </c>
      <c r="G18" s="25">
        <v>0</v>
      </c>
    </row>
    <row r="19" spans="1:7" x14ac:dyDescent="0.25">
      <c r="A19" s="7" t="s">
        <v>113</v>
      </c>
      <c r="B19" s="19" t="s">
        <v>418</v>
      </c>
      <c r="C19" s="25">
        <v>0</v>
      </c>
      <c r="E19" s="7" t="s">
        <v>113</v>
      </c>
      <c r="F19" s="19" t="s">
        <v>215</v>
      </c>
      <c r="G19" s="25">
        <v>0</v>
      </c>
    </row>
    <row r="20" spans="1:7" x14ac:dyDescent="0.25">
      <c r="A20" s="7" t="s">
        <v>420</v>
      </c>
      <c r="B20" s="19" t="s">
        <v>419</v>
      </c>
      <c r="C20" s="8">
        <v>0.5</v>
      </c>
      <c r="E20" s="7" t="s">
        <v>113</v>
      </c>
      <c r="F20" s="19" t="s">
        <v>216</v>
      </c>
      <c r="G20" s="25">
        <v>200</v>
      </c>
    </row>
    <row r="21" spans="1:7" x14ac:dyDescent="0.25">
      <c r="A21" s="7" t="s">
        <v>113</v>
      </c>
      <c r="B21" s="19" t="s">
        <v>105</v>
      </c>
      <c r="C21" s="25">
        <v>0</v>
      </c>
      <c r="E21" s="7" t="s">
        <v>113</v>
      </c>
      <c r="F21" s="19" t="s">
        <v>265</v>
      </c>
      <c r="G21" s="25">
        <v>5</v>
      </c>
    </row>
    <row r="22" spans="1:7" x14ac:dyDescent="0.25">
      <c r="A22" s="7" t="s">
        <v>113</v>
      </c>
      <c r="B22" s="19" t="s">
        <v>91</v>
      </c>
      <c r="C22" s="25">
        <v>1</v>
      </c>
      <c r="E22" s="7" t="s">
        <v>113</v>
      </c>
      <c r="F22" s="19" t="s">
        <v>217</v>
      </c>
      <c r="G22" s="25">
        <v>1</v>
      </c>
    </row>
    <row r="23" spans="1:7" x14ac:dyDescent="0.25">
      <c r="A23" s="7" t="s">
        <v>113</v>
      </c>
      <c r="B23" s="19" t="s">
        <v>109</v>
      </c>
      <c r="C23" s="25">
        <v>12</v>
      </c>
      <c r="E23" s="7" t="s">
        <v>113</v>
      </c>
      <c r="F23" s="19" t="s">
        <v>218</v>
      </c>
      <c r="G23" s="25">
        <v>0</v>
      </c>
    </row>
    <row r="24" spans="1:7" x14ac:dyDescent="0.25">
      <c r="A24" s="7" t="s">
        <v>113</v>
      </c>
      <c r="B24" s="19" t="s">
        <v>203</v>
      </c>
      <c r="C24" s="25">
        <v>1</v>
      </c>
      <c r="E24" s="7" t="s">
        <v>113</v>
      </c>
      <c r="F24" s="19" t="s">
        <v>219</v>
      </c>
      <c r="G24" s="25">
        <v>0</v>
      </c>
    </row>
    <row r="25" spans="1:7" x14ac:dyDescent="0.25">
      <c r="A25" s="7" t="s">
        <v>113</v>
      </c>
      <c r="B25" s="19" t="s">
        <v>119</v>
      </c>
      <c r="C25" s="25">
        <v>0</v>
      </c>
      <c r="E25" s="7" t="s">
        <v>113</v>
      </c>
      <c r="F25" s="19" t="s">
        <v>220</v>
      </c>
      <c r="G25" s="25">
        <v>0</v>
      </c>
    </row>
    <row r="26" spans="1:7" x14ac:dyDescent="0.25">
      <c r="A26" s="7" t="s">
        <v>113</v>
      </c>
      <c r="B26" s="19" t="s">
        <v>120</v>
      </c>
      <c r="C26" s="25">
        <v>1</v>
      </c>
      <c r="E26" s="7" t="s">
        <v>113</v>
      </c>
      <c r="F26" s="19" t="s">
        <v>224</v>
      </c>
      <c r="G26" s="25">
        <v>4</v>
      </c>
    </row>
    <row r="27" spans="1:7" x14ac:dyDescent="0.25">
      <c r="A27" s="7" t="s">
        <v>113</v>
      </c>
      <c r="B27" s="19" t="s">
        <v>121</v>
      </c>
      <c r="C27" s="25">
        <v>14</v>
      </c>
      <c r="E27" s="7" t="s">
        <v>113</v>
      </c>
      <c r="F27" s="19" t="s">
        <v>226</v>
      </c>
      <c r="G27" s="25">
        <v>23</v>
      </c>
    </row>
    <row r="28" spans="1:7" x14ac:dyDescent="0.25">
      <c r="A28" s="7" t="s">
        <v>113</v>
      </c>
      <c r="B28" s="19" t="s">
        <v>194</v>
      </c>
      <c r="C28" s="25">
        <v>0</v>
      </c>
      <c r="E28" s="7" t="s">
        <v>185</v>
      </c>
      <c r="F28" s="19" t="s">
        <v>227</v>
      </c>
      <c r="G28" s="25">
        <v>7</v>
      </c>
    </row>
    <row r="29" spans="1:7" x14ac:dyDescent="0.25">
      <c r="A29" s="7" t="s">
        <v>113</v>
      </c>
      <c r="B29" s="19" t="s">
        <v>122</v>
      </c>
      <c r="C29" s="25">
        <v>2</v>
      </c>
      <c r="E29" s="7" t="s">
        <v>113</v>
      </c>
      <c r="F29" s="19" t="s">
        <v>228</v>
      </c>
      <c r="G29" s="25">
        <v>0</v>
      </c>
    </row>
    <row r="30" spans="1:7" x14ac:dyDescent="0.25">
      <c r="A30" s="7" t="s">
        <v>113</v>
      </c>
      <c r="B30" s="19" t="s">
        <v>124</v>
      </c>
      <c r="C30" s="25">
        <v>0</v>
      </c>
      <c r="E30" s="7" t="s">
        <v>113</v>
      </c>
      <c r="F30" s="19" t="s">
        <v>229</v>
      </c>
      <c r="G30" s="25">
        <v>0</v>
      </c>
    </row>
    <row r="31" spans="1:7" x14ac:dyDescent="0.25">
      <c r="A31" s="7" t="s">
        <v>113</v>
      </c>
      <c r="B31" s="19" t="s">
        <v>125</v>
      </c>
      <c r="C31" s="25">
        <v>0</v>
      </c>
      <c r="E31" s="7" t="s">
        <v>237</v>
      </c>
      <c r="F31" s="19" t="s">
        <v>230</v>
      </c>
      <c r="G31" s="25">
        <v>0</v>
      </c>
    </row>
    <row r="32" spans="1:7" x14ac:dyDescent="0.25">
      <c r="A32" s="7" t="s">
        <v>113</v>
      </c>
      <c r="B32" s="19" t="s">
        <v>126</v>
      </c>
      <c r="C32" s="25">
        <v>4</v>
      </c>
      <c r="E32" s="7" t="s">
        <v>113</v>
      </c>
      <c r="F32" s="19" t="s">
        <v>231</v>
      </c>
      <c r="G32" s="25">
        <v>0</v>
      </c>
    </row>
    <row r="33" spans="1:7" x14ac:dyDescent="0.25">
      <c r="A33" s="7" t="s">
        <v>113</v>
      </c>
      <c r="B33" s="19" t="s">
        <v>127</v>
      </c>
      <c r="C33" s="25">
        <v>0</v>
      </c>
      <c r="E33" s="7" t="s">
        <v>113</v>
      </c>
      <c r="F33" s="19" t="s">
        <v>232</v>
      </c>
      <c r="G33" s="25">
        <v>2</v>
      </c>
    </row>
    <row r="34" spans="1:7" x14ac:dyDescent="0.25">
      <c r="A34" s="7" t="s">
        <v>113</v>
      </c>
      <c r="B34" s="19" t="s">
        <v>128</v>
      </c>
      <c r="C34" s="25">
        <v>0</v>
      </c>
      <c r="E34" s="7" t="s">
        <v>113</v>
      </c>
      <c r="F34" s="19" t="s">
        <v>233</v>
      </c>
      <c r="G34" s="25">
        <v>88</v>
      </c>
    </row>
    <row r="35" spans="1:7" x14ac:dyDescent="0.25">
      <c r="A35" s="7" t="s">
        <v>113</v>
      </c>
      <c r="B35" s="19" t="s">
        <v>133</v>
      </c>
      <c r="C35" s="25">
        <v>1</v>
      </c>
      <c r="E35" s="7" t="s">
        <v>113</v>
      </c>
      <c r="F35" s="19" t="s">
        <v>315</v>
      </c>
      <c r="G35" s="25">
        <v>0</v>
      </c>
    </row>
    <row r="36" spans="1:7" x14ac:dyDescent="0.25">
      <c r="A36" s="7" t="s">
        <v>113</v>
      </c>
      <c r="B36" s="19" t="s">
        <v>134</v>
      </c>
      <c r="C36" s="25">
        <v>1</v>
      </c>
      <c r="E36" s="7" t="s">
        <v>113</v>
      </c>
      <c r="F36" s="19" t="s">
        <v>236</v>
      </c>
      <c r="G36" s="25">
        <v>4</v>
      </c>
    </row>
    <row r="37" spans="1:7" x14ac:dyDescent="0.25">
      <c r="A37" s="7" t="s">
        <v>113</v>
      </c>
      <c r="B37" s="19" t="s">
        <v>501</v>
      </c>
      <c r="C37" s="25">
        <v>100</v>
      </c>
      <c r="E37" s="7" t="s">
        <v>113</v>
      </c>
      <c r="F37" s="19" t="s">
        <v>238</v>
      </c>
      <c r="G37" s="25">
        <v>2</v>
      </c>
    </row>
    <row r="38" spans="1:7" x14ac:dyDescent="0.25">
      <c r="A38" s="7" t="s">
        <v>113</v>
      </c>
      <c r="B38" s="19" t="s">
        <v>139</v>
      </c>
      <c r="C38" s="25">
        <v>1</v>
      </c>
      <c r="E38" s="7" t="s">
        <v>113</v>
      </c>
      <c r="F38" s="19" t="s">
        <v>239</v>
      </c>
      <c r="G38" s="25">
        <v>3</v>
      </c>
    </row>
    <row r="39" spans="1:7" x14ac:dyDescent="0.25">
      <c r="A39" s="7" t="s">
        <v>204</v>
      </c>
      <c r="B39" s="19" t="s">
        <v>205</v>
      </c>
      <c r="C39" s="25">
        <v>0</v>
      </c>
      <c r="E39" s="7" t="s">
        <v>113</v>
      </c>
      <c r="F39" s="19" t="s">
        <v>240</v>
      </c>
      <c r="G39" s="25">
        <v>0</v>
      </c>
    </row>
    <row r="40" spans="1:7" x14ac:dyDescent="0.25">
      <c r="A40" s="7" t="s">
        <v>113</v>
      </c>
      <c r="B40" s="19" t="s">
        <v>173</v>
      </c>
      <c r="C40" s="25">
        <v>0</v>
      </c>
      <c r="E40" s="7" t="s">
        <v>113</v>
      </c>
      <c r="F40" s="19" t="s">
        <v>241</v>
      </c>
      <c r="G40" s="25">
        <v>1</v>
      </c>
    </row>
    <row r="41" spans="1:7" x14ac:dyDescent="0.25">
      <c r="A41" s="7" t="s">
        <v>113</v>
      </c>
      <c r="B41" s="19" t="s">
        <v>174</v>
      </c>
      <c r="C41" s="25">
        <v>1</v>
      </c>
      <c r="E41" s="7" t="s">
        <v>113</v>
      </c>
      <c r="F41" s="19" t="s">
        <v>311</v>
      </c>
      <c r="G41" s="25">
        <v>0</v>
      </c>
    </row>
    <row r="42" spans="1:7" x14ac:dyDescent="0.25">
      <c r="A42" s="7" t="s">
        <v>113</v>
      </c>
      <c r="B42" s="19" t="s">
        <v>175</v>
      </c>
      <c r="C42" s="25">
        <v>1</v>
      </c>
      <c r="E42" s="7" t="s">
        <v>113</v>
      </c>
      <c r="F42" s="19" t="s">
        <v>248</v>
      </c>
      <c r="G42" s="25">
        <v>0</v>
      </c>
    </row>
    <row r="43" spans="1:7" x14ac:dyDescent="0.25">
      <c r="A43" s="7" t="s">
        <v>113</v>
      </c>
      <c r="B43" s="19" t="s">
        <v>176</v>
      </c>
      <c r="C43" s="25">
        <v>0</v>
      </c>
      <c r="E43" s="7" t="s">
        <v>113</v>
      </c>
      <c r="F43" s="19" t="s">
        <v>281</v>
      </c>
      <c r="G43" s="25">
        <v>0</v>
      </c>
    </row>
    <row r="44" spans="1:7" x14ac:dyDescent="0.25">
      <c r="A44" s="7" t="s">
        <v>115</v>
      </c>
      <c r="B44" s="19" t="s">
        <v>178</v>
      </c>
      <c r="C44" s="24">
        <v>0</v>
      </c>
      <c r="E44" s="7" t="s">
        <v>113</v>
      </c>
      <c r="F44" s="19" t="s">
        <v>91</v>
      </c>
      <c r="G44" s="25">
        <v>1</v>
      </c>
    </row>
    <row r="45" spans="1:7" x14ac:dyDescent="0.25">
      <c r="A45" s="7" t="s">
        <v>185</v>
      </c>
      <c r="B45" s="19" t="s">
        <v>206</v>
      </c>
      <c r="C45" s="24">
        <v>0</v>
      </c>
      <c r="E45" s="7" t="s">
        <v>113</v>
      </c>
      <c r="F45" s="19" t="s">
        <v>92</v>
      </c>
      <c r="G45" s="25">
        <v>3</v>
      </c>
    </row>
    <row r="46" spans="1:7" x14ac:dyDescent="0.25">
      <c r="A46" s="7" t="s">
        <v>113</v>
      </c>
      <c r="B46" s="19" t="s">
        <v>316</v>
      </c>
      <c r="C46" s="25">
        <v>1</v>
      </c>
      <c r="E46" s="7" t="s">
        <v>113</v>
      </c>
      <c r="F46" s="19" t="s">
        <v>416</v>
      </c>
      <c r="G46" s="25">
        <v>0</v>
      </c>
    </row>
    <row r="47" spans="1:7" x14ac:dyDescent="0.25">
      <c r="E47" s="5"/>
      <c r="F47" s="23"/>
      <c r="G47" s="5"/>
    </row>
    <row r="48" spans="1:7" x14ac:dyDescent="0.25">
      <c r="E48" s="5"/>
      <c r="F48" s="23"/>
      <c r="G48" s="5"/>
    </row>
    <row r="49" spans="1:7" x14ac:dyDescent="0.25">
      <c r="E49" s="5"/>
      <c r="F49" s="23"/>
      <c r="G49" s="5"/>
    </row>
    <row r="52" spans="1:7" ht="18.75" x14ac:dyDescent="0.3">
      <c r="B52" s="166" t="s">
        <v>264</v>
      </c>
      <c r="C52" s="166"/>
      <c r="D52" s="166"/>
      <c r="E52" s="166"/>
      <c r="F52" s="166"/>
      <c r="G52" s="18"/>
    </row>
    <row r="53" spans="1:7" x14ac:dyDescent="0.25">
      <c r="A53" s="264" t="s">
        <v>391</v>
      </c>
      <c r="B53" s="264"/>
      <c r="C53" s="264"/>
      <c r="E53" s="264" t="s">
        <v>385</v>
      </c>
      <c r="F53" s="264"/>
      <c r="G53" s="264"/>
    </row>
    <row r="54" spans="1:7" x14ac:dyDescent="0.25">
      <c r="A54" s="20" t="s">
        <v>80</v>
      </c>
      <c r="B54" s="22" t="s">
        <v>0</v>
      </c>
      <c r="C54" s="20" t="s">
        <v>77</v>
      </c>
      <c r="E54" s="20" t="s">
        <v>80</v>
      </c>
      <c r="F54" s="22" t="s">
        <v>0</v>
      </c>
      <c r="G54" s="20" t="s">
        <v>77</v>
      </c>
    </row>
    <row r="55" spans="1:7" x14ac:dyDescent="0.25">
      <c r="A55" s="7" t="s">
        <v>113</v>
      </c>
      <c r="B55" s="19" t="s">
        <v>235</v>
      </c>
      <c r="C55" s="25">
        <v>0</v>
      </c>
      <c r="E55" s="7" t="s">
        <v>113</v>
      </c>
      <c r="F55" s="19" t="s">
        <v>83</v>
      </c>
      <c r="G55" s="25">
        <v>17</v>
      </c>
    </row>
    <row r="56" spans="1:7" x14ac:dyDescent="0.25">
      <c r="A56" s="7" t="s">
        <v>113</v>
      </c>
      <c r="B56" s="19" t="s">
        <v>234</v>
      </c>
      <c r="C56" s="25">
        <v>0</v>
      </c>
      <c r="E56" s="7" t="s">
        <v>185</v>
      </c>
      <c r="F56" s="19" t="s">
        <v>186</v>
      </c>
      <c r="G56" s="25">
        <v>34</v>
      </c>
    </row>
    <row r="57" spans="1:7" x14ac:dyDescent="0.25">
      <c r="A57" s="7" t="s">
        <v>113</v>
      </c>
      <c r="B57" s="19" t="s">
        <v>225</v>
      </c>
      <c r="C57" s="25">
        <v>0</v>
      </c>
      <c r="E57" s="7" t="s">
        <v>185</v>
      </c>
      <c r="F57" s="19" t="s">
        <v>187</v>
      </c>
      <c r="G57" s="25">
        <v>40</v>
      </c>
    </row>
    <row r="58" spans="1:7" x14ac:dyDescent="0.25">
      <c r="A58" s="7" t="s">
        <v>113</v>
      </c>
      <c r="B58" s="19" t="s">
        <v>221</v>
      </c>
      <c r="C58" s="25">
        <v>0</v>
      </c>
      <c r="E58" s="7" t="s">
        <v>185</v>
      </c>
      <c r="F58" s="19" t="s">
        <v>188</v>
      </c>
      <c r="G58" s="25">
        <v>0</v>
      </c>
    </row>
    <row r="59" spans="1:7" x14ac:dyDescent="0.25">
      <c r="A59" s="7" t="s">
        <v>113</v>
      </c>
      <c r="B59" s="19" t="s">
        <v>222</v>
      </c>
      <c r="C59" s="25">
        <v>2</v>
      </c>
      <c r="E59" s="7" t="s">
        <v>185</v>
      </c>
      <c r="F59" s="19" t="s">
        <v>189</v>
      </c>
      <c r="G59" s="25">
        <v>37</v>
      </c>
    </row>
    <row r="60" spans="1:7" x14ac:dyDescent="0.25">
      <c r="A60" s="7" t="s">
        <v>113</v>
      </c>
      <c r="B60" s="19" t="s">
        <v>223</v>
      </c>
      <c r="C60" s="25">
        <v>0</v>
      </c>
      <c r="E60" s="7" t="s">
        <v>185</v>
      </c>
      <c r="F60" s="19" t="s">
        <v>190</v>
      </c>
      <c r="G60" s="25">
        <v>0</v>
      </c>
    </row>
    <row r="61" spans="1:7" x14ac:dyDescent="0.25">
      <c r="A61" s="7" t="s">
        <v>113</v>
      </c>
      <c r="B61" s="19" t="s">
        <v>282</v>
      </c>
      <c r="C61" s="25">
        <v>0</v>
      </c>
      <c r="E61" s="7" t="s">
        <v>185</v>
      </c>
      <c r="F61" s="19" t="s">
        <v>191</v>
      </c>
      <c r="G61" s="25">
        <v>0</v>
      </c>
    </row>
    <row r="62" spans="1:7" x14ac:dyDescent="0.25">
      <c r="A62" s="7" t="s">
        <v>113</v>
      </c>
      <c r="B62" s="19" t="s">
        <v>247</v>
      </c>
      <c r="C62" s="26">
        <v>0</v>
      </c>
      <c r="E62" s="7" t="s">
        <v>185</v>
      </c>
      <c r="F62" s="19" t="s">
        <v>192</v>
      </c>
      <c r="G62" s="8">
        <v>12.5</v>
      </c>
    </row>
    <row r="63" spans="1:7" x14ac:dyDescent="0.25">
      <c r="A63" s="7" t="s">
        <v>113</v>
      </c>
      <c r="B63" s="19" t="s">
        <v>245</v>
      </c>
      <c r="C63" s="25">
        <v>0</v>
      </c>
      <c r="E63" s="7" t="s">
        <v>113</v>
      </c>
      <c r="F63" s="19" t="s">
        <v>500</v>
      </c>
      <c r="G63" s="8">
        <v>1</v>
      </c>
    </row>
    <row r="64" spans="1:7" x14ac:dyDescent="0.25">
      <c r="A64" s="7" t="s">
        <v>113</v>
      </c>
      <c r="B64" s="19" t="s">
        <v>246</v>
      </c>
      <c r="C64" s="26">
        <v>0</v>
      </c>
      <c r="E64" s="7" t="s">
        <v>185</v>
      </c>
      <c r="F64" s="19" t="s">
        <v>193</v>
      </c>
      <c r="G64" s="24">
        <v>15</v>
      </c>
    </row>
    <row r="65" spans="1:7" x14ac:dyDescent="0.25">
      <c r="A65" s="7" t="s">
        <v>113</v>
      </c>
      <c r="B65" s="19" t="s">
        <v>266</v>
      </c>
      <c r="C65" s="25">
        <v>0</v>
      </c>
      <c r="E65" s="7" t="s">
        <v>131</v>
      </c>
      <c r="F65" s="19" t="s">
        <v>130</v>
      </c>
      <c r="G65" s="25">
        <v>4</v>
      </c>
    </row>
    <row r="66" spans="1:7" x14ac:dyDescent="0.25">
      <c r="A66" s="7" t="s">
        <v>113</v>
      </c>
      <c r="B66" s="19" t="s">
        <v>108</v>
      </c>
      <c r="C66" s="25">
        <v>0</v>
      </c>
      <c r="E66" s="7" t="s">
        <v>131</v>
      </c>
      <c r="F66" s="19" t="s">
        <v>177</v>
      </c>
      <c r="G66" s="25">
        <v>1</v>
      </c>
    </row>
    <row r="67" spans="1:7" x14ac:dyDescent="0.25">
      <c r="A67" s="7" t="s">
        <v>113</v>
      </c>
      <c r="B67" s="19" t="s">
        <v>533</v>
      </c>
      <c r="C67" s="25">
        <v>13</v>
      </c>
      <c r="E67" s="7" t="s">
        <v>116</v>
      </c>
      <c r="F67" s="19" t="s">
        <v>138</v>
      </c>
      <c r="G67" s="25">
        <v>1</v>
      </c>
    </row>
    <row r="68" spans="1:7" x14ac:dyDescent="0.25">
      <c r="A68" s="7"/>
      <c r="B68" s="19"/>
      <c r="C68" s="25"/>
      <c r="E68" s="7" t="s">
        <v>118</v>
      </c>
      <c r="F68" s="19" t="s">
        <v>112</v>
      </c>
      <c r="G68" s="25">
        <v>0</v>
      </c>
    </row>
    <row r="69" spans="1:7" x14ac:dyDescent="0.25">
      <c r="A69" s="7"/>
      <c r="B69" s="19"/>
      <c r="C69" s="25"/>
      <c r="E69" s="7" t="s">
        <v>113</v>
      </c>
      <c r="F69" s="19" t="s">
        <v>480</v>
      </c>
      <c r="G69" s="25">
        <v>780</v>
      </c>
    </row>
    <row r="70" spans="1:7" x14ac:dyDescent="0.25">
      <c r="A70" s="7"/>
      <c r="B70" s="19"/>
      <c r="C70" s="25"/>
      <c r="E70" s="7" t="s">
        <v>113</v>
      </c>
      <c r="F70" s="19" t="s">
        <v>86</v>
      </c>
      <c r="G70" s="25">
        <v>0</v>
      </c>
    </row>
    <row r="71" spans="1:7" x14ac:dyDescent="0.25">
      <c r="A71" s="7"/>
      <c r="B71" s="19"/>
      <c r="C71" s="25"/>
      <c r="E71" s="7" t="s">
        <v>113</v>
      </c>
      <c r="F71" s="19" t="s">
        <v>451</v>
      </c>
      <c r="G71" s="25">
        <v>0</v>
      </c>
    </row>
    <row r="72" spans="1:7" x14ac:dyDescent="0.25">
      <c r="A72" s="7"/>
      <c r="B72" s="19"/>
      <c r="C72" s="25"/>
      <c r="E72" s="7" t="s">
        <v>113</v>
      </c>
      <c r="F72" s="19" t="s">
        <v>496</v>
      </c>
      <c r="G72" s="25">
        <v>0</v>
      </c>
    </row>
    <row r="73" spans="1:7" x14ac:dyDescent="0.25">
      <c r="A73" s="7"/>
      <c r="B73" s="19"/>
      <c r="C73" s="25"/>
      <c r="E73" s="7" t="s">
        <v>113</v>
      </c>
      <c r="F73" s="19" t="s">
        <v>497</v>
      </c>
      <c r="G73" s="25">
        <v>0</v>
      </c>
    </row>
    <row r="74" spans="1:7" x14ac:dyDescent="0.25">
      <c r="A74" s="7"/>
      <c r="B74" s="19"/>
      <c r="C74" s="25"/>
      <c r="E74" s="7" t="s">
        <v>113</v>
      </c>
      <c r="F74" s="19" t="s">
        <v>395</v>
      </c>
      <c r="G74" s="25">
        <v>0</v>
      </c>
    </row>
    <row r="75" spans="1:7" x14ac:dyDescent="0.25">
      <c r="A75" s="7"/>
      <c r="B75" s="19"/>
      <c r="C75" s="24"/>
      <c r="E75" s="7" t="s">
        <v>113</v>
      </c>
      <c r="F75" s="19" t="s">
        <v>422</v>
      </c>
      <c r="G75" s="25">
        <v>1</v>
      </c>
    </row>
    <row r="76" spans="1:7" x14ac:dyDescent="0.25">
      <c r="A76" s="7"/>
      <c r="B76" s="19"/>
      <c r="C76" s="25"/>
      <c r="E76" s="7" t="s">
        <v>113</v>
      </c>
      <c r="F76" s="19" t="s">
        <v>498</v>
      </c>
      <c r="G76" s="25">
        <v>3</v>
      </c>
    </row>
    <row r="77" spans="1:7" x14ac:dyDescent="0.25">
      <c r="A77" s="7"/>
      <c r="B77" s="19"/>
      <c r="C77" s="25"/>
      <c r="E77" s="7" t="s">
        <v>113</v>
      </c>
      <c r="F77" s="19" t="s">
        <v>137</v>
      </c>
      <c r="G77" s="25">
        <v>0</v>
      </c>
    </row>
    <row r="78" spans="1:7" x14ac:dyDescent="0.25">
      <c r="A78" s="7"/>
      <c r="B78" s="19"/>
      <c r="C78" s="25"/>
      <c r="E78" s="7" t="s">
        <v>113</v>
      </c>
      <c r="F78" s="19" t="s">
        <v>102</v>
      </c>
      <c r="G78" s="25">
        <v>0</v>
      </c>
    </row>
    <row r="79" spans="1:7" x14ac:dyDescent="0.25">
      <c r="A79" s="7"/>
      <c r="B79" s="19"/>
      <c r="C79" s="25"/>
      <c r="E79" s="7" t="s">
        <v>113</v>
      </c>
      <c r="F79" s="19" t="s">
        <v>401</v>
      </c>
      <c r="G79" s="25">
        <v>0</v>
      </c>
    </row>
    <row r="80" spans="1:7" x14ac:dyDescent="0.25">
      <c r="A80" s="7"/>
      <c r="B80" s="19"/>
      <c r="C80" s="25"/>
      <c r="E80" s="7" t="s">
        <v>113</v>
      </c>
      <c r="F80" s="19" t="s">
        <v>111</v>
      </c>
      <c r="G80" s="25">
        <v>1</v>
      </c>
    </row>
    <row r="81" spans="1:7" x14ac:dyDescent="0.25">
      <c r="A81" s="7"/>
      <c r="B81" s="19"/>
      <c r="C81" s="25"/>
      <c r="E81" s="7" t="s">
        <v>113</v>
      </c>
      <c r="F81" s="19" t="s">
        <v>135</v>
      </c>
      <c r="G81" s="25">
        <v>0</v>
      </c>
    </row>
    <row r="82" spans="1:7" x14ac:dyDescent="0.25">
      <c r="A82" s="7"/>
      <c r="B82" s="19"/>
      <c r="C82" s="25"/>
      <c r="E82" s="7" t="s">
        <v>113</v>
      </c>
      <c r="F82" s="19" t="s">
        <v>90</v>
      </c>
      <c r="G82" s="25">
        <v>0</v>
      </c>
    </row>
    <row r="83" spans="1:7" x14ac:dyDescent="0.25">
      <c r="A83" s="7"/>
      <c r="B83" s="19"/>
      <c r="C83" s="25"/>
      <c r="E83" s="7" t="s">
        <v>113</v>
      </c>
      <c r="F83" s="19" t="s">
        <v>381</v>
      </c>
      <c r="G83" s="25">
        <v>0</v>
      </c>
    </row>
    <row r="84" spans="1:7" x14ac:dyDescent="0.25">
      <c r="A84" s="7"/>
      <c r="B84" s="19"/>
      <c r="C84" s="25"/>
      <c r="E84" s="7" t="s">
        <v>113</v>
      </c>
      <c r="F84" s="19" t="s">
        <v>397</v>
      </c>
      <c r="G84" s="25">
        <v>3</v>
      </c>
    </row>
    <row r="85" spans="1:7" x14ac:dyDescent="0.25">
      <c r="A85" s="7"/>
      <c r="B85" s="19"/>
      <c r="C85" s="25"/>
      <c r="D85" s="27"/>
      <c r="E85" s="7" t="s">
        <v>113</v>
      </c>
      <c r="F85" s="19" t="s">
        <v>98</v>
      </c>
      <c r="G85" s="25">
        <v>0</v>
      </c>
    </row>
    <row r="86" spans="1:7" x14ac:dyDescent="0.25">
      <c r="A86" s="7"/>
      <c r="B86" s="19"/>
      <c r="C86" s="25"/>
      <c r="E86" s="7" t="s">
        <v>113</v>
      </c>
      <c r="F86" s="19" t="s">
        <v>396</v>
      </c>
      <c r="G86" s="25">
        <v>3</v>
      </c>
    </row>
    <row r="87" spans="1:7" x14ac:dyDescent="0.25">
      <c r="A87" s="7"/>
      <c r="B87" s="19"/>
      <c r="C87" s="25"/>
      <c r="E87" s="7" t="s">
        <v>113</v>
      </c>
      <c r="F87" s="19" t="s">
        <v>399</v>
      </c>
      <c r="G87" s="25">
        <v>3</v>
      </c>
    </row>
    <row r="88" spans="1:7" x14ac:dyDescent="0.25">
      <c r="A88" s="7"/>
      <c r="B88" s="19"/>
      <c r="C88" s="25"/>
      <c r="E88" s="7" t="s">
        <v>113</v>
      </c>
      <c r="F88" s="19" t="s">
        <v>398</v>
      </c>
      <c r="G88" s="25">
        <v>1</v>
      </c>
    </row>
    <row r="89" spans="1:7" x14ac:dyDescent="0.25">
      <c r="A89" s="7"/>
      <c r="B89" s="19"/>
      <c r="C89" s="25"/>
      <c r="E89" s="7" t="s">
        <v>113</v>
      </c>
      <c r="F89" s="19" t="s">
        <v>400</v>
      </c>
      <c r="G89" s="25">
        <v>3</v>
      </c>
    </row>
    <row r="90" spans="1:7" x14ac:dyDescent="0.25">
      <c r="A90" s="7"/>
      <c r="B90" s="19"/>
      <c r="C90" s="25"/>
      <c r="E90" s="7" t="s">
        <v>113</v>
      </c>
      <c r="F90" s="19" t="s">
        <v>405</v>
      </c>
      <c r="G90" s="25">
        <v>3</v>
      </c>
    </row>
    <row r="91" spans="1:7" x14ac:dyDescent="0.25">
      <c r="A91" s="7"/>
      <c r="B91" s="19"/>
      <c r="C91" s="25"/>
      <c r="E91" s="7"/>
      <c r="F91" s="19"/>
      <c r="G91" s="25"/>
    </row>
    <row r="92" spans="1:7" x14ac:dyDescent="0.25">
      <c r="A92" s="7"/>
      <c r="B92" s="19"/>
      <c r="C92" s="25"/>
    </row>
    <row r="98" spans="1:7" ht="18.75" customHeight="1" x14ac:dyDescent="0.3">
      <c r="B98" s="166" t="s">
        <v>263</v>
      </c>
      <c r="C98" s="166"/>
      <c r="D98" s="166"/>
      <c r="E98" s="166"/>
      <c r="F98" s="166"/>
      <c r="G98" s="18"/>
    </row>
    <row r="99" spans="1:7" x14ac:dyDescent="0.25">
      <c r="A99" s="264" t="s">
        <v>387</v>
      </c>
      <c r="B99" s="264"/>
      <c r="C99" s="264"/>
      <c r="D99" s="119"/>
      <c r="E99" s="264" t="s">
        <v>387</v>
      </c>
      <c r="F99" s="264"/>
      <c r="G99" s="264"/>
    </row>
    <row r="100" spans="1:7" x14ac:dyDescent="0.25">
      <c r="A100" s="20" t="s">
        <v>80</v>
      </c>
      <c r="B100" s="22" t="s">
        <v>0</v>
      </c>
      <c r="C100" s="20" t="s">
        <v>77</v>
      </c>
      <c r="E100" s="20" t="s">
        <v>80</v>
      </c>
      <c r="F100" s="22" t="s">
        <v>0</v>
      </c>
      <c r="G100" s="20" t="s">
        <v>77</v>
      </c>
    </row>
    <row r="101" spans="1:7" x14ac:dyDescent="0.25">
      <c r="A101" s="7" t="s">
        <v>113</v>
      </c>
      <c r="B101" s="19" t="s">
        <v>89</v>
      </c>
      <c r="C101" s="25">
        <v>114</v>
      </c>
      <c r="E101" s="7" t="s">
        <v>113</v>
      </c>
      <c r="F101" s="19" t="s">
        <v>170</v>
      </c>
      <c r="G101" s="25">
        <v>88</v>
      </c>
    </row>
    <row r="102" spans="1:7" x14ac:dyDescent="0.25">
      <c r="A102" s="7" t="s">
        <v>113</v>
      </c>
      <c r="B102" s="19" t="s">
        <v>392</v>
      </c>
      <c r="C102" s="25">
        <v>1</v>
      </c>
      <c r="E102" s="7" t="s">
        <v>113</v>
      </c>
      <c r="F102" s="19" t="s">
        <v>171</v>
      </c>
      <c r="G102" s="25">
        <v>13</v>
      </c>
    </row>
    <row r="103" spans="1:7" x14ac:dyDescent="0.25">
      <c r="A103" s="7" t="s">
        <v>113</v>
      </c>
      <c r="B103" s="19" t="s">
        <v>382</v>
      </c>
      <c r="C103" s="25">
        <v>18</v>
      </c>
      <c r="E103" s="7" t="s">
        <v>113</v>
      </c>
      <c r="F103" s="19" t="s">
        <v>172</v>
      </c>
      <c r="G103" s="25">
        <v>5</v>
      </c>
    </row>
    <row r="104" spans="1:7" x14ac:dyDescent="0.25">
      <c r="A104" s="7" t="s">
        <v>113</v>
      </c>
      <c r="B104" s="19" t="s">
        <v>179</v>
      </c>
      <c r="C104" s="25">
        <v>50</v>
      </c>
      <c r="E104" s="7" t="s">
        <v>113</v>
      </c>
      <c r="F104" s="19" t="s">
        <v>303</v>
      </c>
      <c r="G104" s="25">
        <v>5</v>
      </c>
    </row>
    <row r="105" spans="1:7" x14ac:dyDescent="0.25">
      <c r="A105" s="7" t="s">
        <v>114</v>
      </c>
      <c r="B105" s="19" t="s">
        <v>96</v>
      </c>
      <c r="C105" s="25">
        <v>1</v>
      </c>
      <c r="E105" s="7" t="s">
        <v>113</v>
      </c>
      <c r="F105" s="19" t="s">
        <v>169</v>
      </c>
      <c r="G105" s="25">
        <v>1</v>
      </c>
    </row>
    <row r="106" spans="1:7" x14ac:dyDescent="0.25">
      <c r="A106" s="7" t="s">
        <v>114</v>
      </c>
      <c r="B106" s="19" t="s">
        <v>411</v>
      </c>
      <c r="C106" s="25">
        <v>5</v>
      </c>
      <c r="E106" s="7" t="s">
        <v>113</v>
      </c>
      <c r="F106" s="19" t="s">
        <v>375</v>
      </c>
      <c r="G106" s="25">
        <v>4</v>
      </c>
    </row>
    <row r="107" spans="1:7" x14ac:dyDescent="0.25">
      <c r="A107" s="7" t="s">
        <v>115</v>
      </c>
      <c r="B107" s="19" t="s">
        <v>129</v>
      </c>
      <c r="C107" s="25">
        <v>54</v>
      </c>
      <c r="E107" s="7" t="s">
        <v>113</v>
      </c>
      <c r="F107" s="19" t="s">
        <v>161</v>
      </c>
      <c r="G107" s="25">
        <v>4</v>
      </c>
    </row>
    <row r="108" spans="1:7" x14ac:dyDescent="0.25">
      <c r="A108" s="7" t="s">
        <v>115</v>
      </c>
      <c r="B108" s="19" t="s">
        <v>132</v>
      </c>
      <c r="C108" s="25">
        <v>18</v>
      </c>
      <c r="E108" s="7" t="s">
        <v>113</v>
      </c>
      <c r="F108" s="19" t="s">
        <v>158</v>
      </c>
      <c r="G108" s="25">
        <v>0</v>
      </c>
    </row>
    <row r="109" spans="1:7" x14ac:dyDescent="0.25">
      <c r="A109" s="7" t="s">
        <v>113</v>
      </c>
      <c r="B109" s="19" t="s">
        <v>136</v>
      </c>
      <c r="C109" s="25">
        <v>1</v>
      </c>
      <c r="E109" s="7" t="s">
        <v>150</v>
      </c>
      <c r="F109" s="19" t="s">
        <v>153</v>
      </c>
      <c r="G109" s="25">
        <v>6</v>
      </c>
    </row>
    <row r="110" spans="1:7" x14ac:dyDescent="0.25">
      <c r="A110" s="7" t="s">
        <v>113</v>
      </c>
      <c r="B110" s="19" t="s">
        <v>140</v>
      </c>
      <c r="C110" s="25">
        <v>10</v>
      </c>
      <c r="E110" s="7" t="s">
        <v>150</v>
      </c>
      <c r="F110" s="19" t="s">
        <v>154</v>
      </c>
      <c r="G110" s="25">
        <v>7</v>
      </c>
    </row>
    <row r="111" spans="1:7" x14ac:dyDescent="0.25">
      <c r="A111" s="7" t="s">
        <v>113</v>
      </c>
      <c r="B111" s="19" t="s">
        <v>141</v>
      </c>
      <c r="C111" s="25">
        <v>0</v>
      </c>
      <c r="E111" s="7" t="s">
        <v>113</v>
      </c>
      <c r="F111" s="19" t="s">
        <v>148</v>
      </c>
      <c r="G111" s="25">
        <v>55</v>
      </c>
    </row>
    <row r="112" spans="1:7" x14ac:dyDescent="0.25">
      <c r="A112" s="7" t="s">
        <v>113</v>
      </c>
      <c r="B112" s="19" t="s">
        <v>406</v>
      </c>
      <c r="C112" s="25">
        <v>18</v>
      </c>
      <c r="E112" s="7" t="s">
        <v>113</v>
      </c>
      <c r="F112" s="19" t="s">
        <v>160</v>
      </c>
      <c r="G112" s="25">
        <v>2309</v>
      </c>
    </row>
    <row r="113" spans="1:7" x14ac:dyDescent="0.25">
      <c r="A113" s="7" t="s">
        <v>113</v>
      </c>
      <c r="B113" s="19" t="s">
        <v>157</v>
      </c>
      <c r="C113" s="25">
        <v>0</v>
      </c>
      <c r="E113" s="7" t="s">
        <v>113</v>
      </c>
      <c r="F113" s="19" t="s">
        <v>515</v>
      </c>
      <c r="G113" s="25">
        <v>1</v>
      </c>
    </row>
    <row r="114" spans="1:7" x14ac:dyDescent="0.25">
      <c r="A114" s="7" t="s">
        <v>113</v>
      </c>
      <c r="B114" s="19" t="s">
        <v>268</v>
      </c>
      <c r="C114" s="25">
        <v>0</v>
      </c>
      <c r="E114" s="7"/>
      <c r="F114" s="19"/>
      <c r="G114" s="25"/>
    </row>
    <row r="115" spans="1:7" x14ac:dyDescent="0.25">
      <c r="A115" s="7" t="s">
        <v>113</v>
      </c>
      <c r="B115" s="19" t="s">
        <v>144</v>
      </c>
      <c r="C115" s="25">
        <v>19</v>
      </c>
      <c r="E115" s="7"/>
      <c r="F115" s="19"/>
      <c r="G115" s="25"/>
    </row>
    <row r="116" spans="1:7" x14ac:dyDescent="0.25">
      <c r="A116" s="7" t="s">
        <v>113</v>
      </c>
      <c r="B116" s="19" t="s">
        <v>145</v>
      </c>
      <c r="C116" s="25">
        <v>45</v>
      </c>
      <c r="E116" s="7"/>
      <c r="F116" s="19"/>
      <c r="G116" s="25"/>
    </row>
    <row r="117" spans="1:7" x14ac:dyDescent="0.25">
      <c r="A117" s="7" t="s">
        <v>113</v>
      </c>
      <c r="B117" s="19" t="s">
        <v>146</v>
      </c>
      <c r="C117" s="25">
        <v>17</v>
      </c>
      <c r="E117" s="7"/>
      <c r="F117" s="19"/>
      <c r="G117" s="25"/>
    </row>
    <row r="118" spans="1:7" x14ac:dyDescent="0.25">
      <c r="A118" s="7" t="s">
        <v>113</v>
      </c>
      <c r="B118" s="19" t="s">
        <v>147</v>
      </c>
      <c r="C118" s="25">
        <v>1800</v>
      </c>
      <c r="E118" s="7"/>
      <c r="F118" s="19"/>
      <c r="G118" s="25"/>
    </row>
    <row r="119" spans="1:7" x14ac:dyDescent="0.25">
      <c r="A119" s="7" t="s">
        <v>113</v>
      </c>
      <c r="B119" s="19" t="s">
        <v>273</v>
      </c>
      <c r="C119" s="25">
        <v>0</v>
      </c>
      <c r="E119" s="7"/>
      <c r="F119" s="19"/>
      <c r="G119" s="25"/>
    </row>
    <row r="120" spans="1:7" x14ac:dyDescent="0.25">
      <c r="A120" s="7" t="s">
        <v>113</v>
      </c>
      <c r="B120" s="19" t="s">
        <v>376</v>
      </c>
      <c r="C120" s="25">
        <v>6</v>
      </c>
      <c r="E120" s="7"/>
      <c r="F120" s="19"/>
      <c r="G120" s="25"/>
    </row>
    <row r="121" spans="1:7" x14ac:dyDescent="0.25">
      <c r="A121" s="7" t="s">
        <v>113</v>
      </c>
      <c r="B121" s="19" t="s">
        <v>377</v>
      </c>
      <c r="C121" s="25">
        <v>15</v>
      </c>
      <c r="E121" s="7"/>
      <c r="F121" s="19"/>
      <c r="G121" s="25"/>
    </row>
    <row r="122" spans="1:7" x14ac:dyDescent="0.25">
      <c r="A122" s="7" t="s">
        <v>113</v>
      </c>
      <c r="B122" s="19" t="s">
        <v>378</v>
      </c>
      <c r="C122" s="25">
        <v>34</v>
      </c>
      <c r="E122" s="7"/>
      <c r="F122" s="19"/>
      <c r="G122" s="25"/>
    </row>
    <row r="123" spans="1:7" x14ac:dyDescent="0.25">
      <c r="A123" s="7" t="s">
        <v>113</v>
      </c>
      <c r="B123" s="19" t="s">
        <v>379</v>
      </c>
      <c r="C123" s="25">
        <v>22</v>
      </c>
      <c r="E123" s="7"/>
      <c r="F123" s="19"/>
      <c r="G123" s="25"/>
    </row>
    <row r="124" spans="1:7" x14ac:dyDescent="0.25">
      <c r="A124" s="7" t="s">
        <v>113</v>
      </c>
      <c r="B124" s="19" t="s">
        <v>380</v>
      </c>
      <c r="C124" s="25">
        <v>3</v>
      </c>
      <c r="E124" s="7"/>
      <c r="F124" s="19"/>
      <c r="G124" s="25"/>
    </row>
    <row r="125" spans="1:7" x14ac:dyDescent="0.25">
      <c r="A125" s="7" t="s">
        <v>150</v>
      </c>
      <c r="B125" s="19" t="s">
        <v>155</v>
      </c>
      <c r="C125" s="25">
        <v>4</v>
      </c>
      <c r="E125" s="7"/>
      <c r="F125" s="19"/>
      <c r="G125" s="25"/>
    </row>
    <row r="126" spans="1:7" x14ac:dyDescent="0.25">
      <c r="A126" s="7" t="s">
        <v>150</v>
      </c>
      <c r="B126" s="19" t="s">
        <v>156</v>
      </c>
      <c r="C126" s="24">
        <v>1.5</v>
      </c>
      <c r="E126" s="7"/>
      <c r="F126" s="19"/>
      <c r="G126" s="25"/>
    </row>
    <row r="127" spans="1:7" x14ac:dyDescent="0.25">
      <c r="A127" s="7" t="s">
        <v>113</v>
      </c>
      <c r="B127" s="19" t="s">
        <v>159</v>
      </c>
      <c r="C127" s="25">
        <v>0</v>
      </c>
      <c r="E127" s="7"/>
      <c r="F127" s="19"/>
      <c r="G127" s="25"/>
    </row>
    <row r="128" spans="1:7" x14ac:dyDescent="0.25">
      <c r="A128" s="7" t="s">
        <v>113</v>
      </c>
      <c r="B128" s="19" t="s">
        <v>288</v>
      </c>
      <c r="C128" s="25">
        <v>0</v>
      </c>
      <c r="E128" s="7"/>
      <c r="F128" s="19"/>
      <c r="G128" s="25"/>
    </row>
    <row r="129" spans="1:7" x14ac:dyDescent="0.25">
      <c r="A129" s="7" t="s">
        <v>113</v>
      </c>
      <c r="B129" s="19" t="s">
        <v>163</v>
      </c>
      <c r="C129" s="25">
        <v>72</v>
      </c>
      <c r="E129" s="7"/>
      <c r="F129" s="19"/>
      <c r="G129" s="25"/>
    </row>
    <row r="130" spans="1:7" x14ac:dyDescent="0.25">
      <c r="A130" s="7" t="s">
        <v>113</v>
      </c>
      <c r="B130" s="19" t="s">
        <v>180</v>
      </c>
      <c r="C130" s="25">
        <v>3</v>
      </c>
      <c r="E130" s="7"/>
      <c r="F130" s="19"/>
      <c r="G130" s="25"/>
    </row>
    <row r="131" spans="1:7" x14ac:dyDescent="0.25">
      <c r="A131" s="7" t="s">
        <v>113</v>
      </c>
      <c r="B131" s="19" t="s">
        <v>181</v>
      </c>
      <c r="C131" s="25">
        <v>3</v>
      </c>
      <c r="D131" s="27"/>
      <c r="E131" s="7"/>
      <c r="F131" s="19"/>
      <c r="G131" s="25"/>
    </row>
    <row r="132" spans="1:7" x14ac:dyDescent="0.25">
      <c r="A132" s="7" t="s">
        <v>113</v>
      </c>
      <c r="B132" s="19" t="s">
        <v>165</v>
      </c>
      <c r="C132" s="25">
        <v>60</v>
      </c>
      <c r="E132" s="7"/>
      <c r="F132" s="19"/>
      <c r="G132" s="25"/>
    </row>
    <row r="133" spans="1:7" x14ac:dyDescent="0.25">
      <c r="A133" s="7" t="s">
        <v>113</v>
      </c>
      <c r="B133" s="19" t="s">
        <v>166</v>
      </c>
      <c r="C133" s="25">
        <v>66</v>
      </c>
      <c r="E133" s="7"/>
      <c r="F133" s="19"/>
      <c r="G133" s="25"/>
    </row>
    <row r="134" spans="1:7" x14ac:dyDescent="0.25">
      <c r="A134" s="7" t="s">
        <v>113</v>
      </c>
      <c r="B134" s="19" t="s">
        <v>168</v>
      </c>
      <c r="C134" s="25">
        <v>37</v>
      </c>
      <c r="E134" s="7"/>
      <c r="F134" s="19"/>
      <c r="G134" s="25"/>
    </row>
    <row r="135" spans="1:7" x14ac:dyDescent="0.25">
      <c r="A135" s="7" t="s">
        <v>113</v>
      </c>
      <c r="B135" s="19" t="s">
        <v>167</v>
      </c>
      <c r="C135" s="25">
        <v>38</v>
      </c>
      <c r="E135" s="7"/>
      <c r="F135" s="19"/>
      <c r="G135" s="25"/>
    </row>
    <row r="136" spans="1:7" x14ac:dyDescent="0.25">
      <c r="A136" s="7" t="s">
        <v>113</v>
      </c>
      <c r="B136" s="19" t="s">
        <v>383</v>
      </c>
      <c r="C136" s="25">
        <v>86</v>
      </c>
      <c r="E136" s="7"/>
      <c r="F136" s="19"/>
      <c r="G136" s="25"/>
    </row>
    <row r="137" spans="1:7" x14ac:dyDescent="0.25">
      <c r="A137" s="7" t="s">
        <v>150</v>
      </c>
      <c r="B137" s="19" t="s">
        <v>149</v>
      </c>
      <c r="C137" s="25">
        <v>3</v>
      </c>
      <c r="E137" s="7"/>
      <c r="F137" s="19"/>
      <c r="G137" s="25"/>
    </row>
    <row r="138" spans="1:7" x14ac:dyDescent="0.25">
      <c r="A138" s="7" t="s">
        <v>150</v>
      </c>
      <c r="B138" s="19" t="s">
        <v>151</v>
      </c>
      <c r="C138" s="25">
        <v>12</v>
      </c>
      <c r="E138" s="7"/>
      <c r="F138" s="19"/>
      <c r="G138" s="25"/>
    </row>
    <row r="139" spans="1:7" x14ac:dyDescent="0.25">
      <c r="A139" s="120"/>
      <c r="B139" s="121"/>
      <c r="C139" s="122"/>
      <c r="E139" s="120"/>
      <c r="F139" s="121"/>
      <c r="G139" s="122"/>
    </row>
    <row r="144" spans="1:7" ht="18.75" x14ac:dyDescent="0.3">
      <c r="B144" s="166" t="s">
        <v>263</v>
      </c>
      <c r="C144" s="166"/>
      <c r="D144" s="166"/>
      <c r="E144" s="166"/>
      <c r="F144" s="166"/>
      <c r="G144" s="18"/>
    </row>
    <row r="145" spans="1:7" x14ac:dyDescent="0.25">
      <c r="A145" s="264" t="s">
        <v>386</v>
      </c>
      <c r="B145" s="264"/>
      <c r="C145" s="264"/>
      <c r="D145" s="119"/>
      <c r="E145" s="264" t="s">
        <v>386</v>
      </c>
      <c r="F145" s="264"/>
      <c r="G145" s="264"/>
    </row>
    <row r="146" spans="1:7" x14ac:dyDescent="0.25">
      <c r="A146" s="20" t="s">
        <v>80</v>
      </c>
      <c r="B146" s="22" t="s">
        <v>0</v>
      </c>
      <c r="C146" s="20" t="s">
        <v>77</v>
      </c>
      <c r="E146" s="20" t="s">
        <v>80</v>
      </c>
      <c r="F146" s="22" t="s">
        <v>0</v>
      </c>
      <c r="G146" s="20" t="s">
        <v>77</v>
      </c>
    </row>
    <row r="147" spans="1:7" x14ac:dyDescent="0.25">
      <c r="A147" s="7" t="s">
        <v>237</v>
      </c>
      <c r="B147" s="19" t="s">
        <v>270</v>
      </c>
      <c r="C147" s="24">
        <v>0</v>
      </c>
      <c r="E147" s="7"/>
      <c r="F147" s="19"/>
      <c r="G147" s="25"/>
    </row>
    <row r="148" spans="1:7" x14ac:dyDescent="0.25">
      <c r="A148" s="7" t="s">
        <v>237</v>
      </c>
      <c r="B148" s="19" t="s">
        <v>309</v>
      </c>
      <c r="C148" s="24">
        <v>0</v>
      </c>
      <c r="E148" s="7"/>
      <c r="F148" s="19"/>
      <c r="G148" s="25"/>
    </row>
    <row r="149" spans="1:7" x14ac:dyDescent="0.25">
      <c r="A149" s="7" t="s">
        <v>113</v>
      </c>
      <c r="B149" s="19" t="s">
        <v>271</v>
      </c>
      <c r="C149" s="25">
        <v>2</v>
      </c>
      <c r="E149" s="7"/>
      <c r="F149" s="19"/>
      <c r="G149" s="25"/>
    </row>
    <row r="150" spans="1:7" x14ac:dyDescent="0.25">
      <c r="A150" s="7" t="s">
        <v>113</v>
      </c>
      <c r="B150" s="19" t="s">
        <v>272</v>
      </c>
      <c r="C150" s="25">
        <v>3</v>
      </c>
      <c r="E150" s="7"/>
      <c r="F150" s="19"/>
      <c r="G150" s="25"/>
    </row>
    <row r="151" spans="1:7" x14ac:dyDescent="0.25">
      <c r="A151" s="7" t="s">
        <v>113</v>
      </c>
      <c r="B151" s="19" t="s">
        <v>199</v>
      </c>
      <c r="C151" s="25">
        <v>100</v>
      </c>
      <c r="E151" s="7"/>
      <c r="F151" s="19"/>
      <c r="G151" s="25"/>
    </row>
    <row r="152" spans="1:7" x14ac:dyDescent="0.25">
      <c r="A152" s="7" t="s">
        <v>150</v>
      </c>
      <c r="B152" s="19" t="s">
        <v>388</v>
      </c>
      <c r="C152" s="25">
        <v>0</v>
      </c>
      <c r="E152" s="7"/>
      <c r="F152" s="19"/>
      <c r="G152" s="25"/>
    </row>
    <row r="153" spans="1:7" x14ac:dyDescent="0.25">
      <c r="A153" s="7" t="s">
        <v>150</v>
      </c>
      <c r="B153" s="19" t="s">
        <v>389</v>
      </c>
      <c r="C153" s="25">
        <v>0</v>
      </c>
      <c r="E153" s="7"/>
      <c r="F153" s="19"/>
      <c r="G153" s="25"/>
    </row>
    <row r="154" spans="1:7" x14ac:dyDescent="0.25">
      <c r="A154" s="7" t="s">
        <v>150</v>
      </c>
      <c r="B154" s="19" t="s">
        <v>390</v>
      </c>
      <c r="C154" s="25">
        <v>0</v>
      </c>
      <c r="E154" s="7"/>
      <c r="F154" s="19"/>
      <c r="G154" s="26"/>
    </row>
    <row r="155" spans="1:7" x14ac:dyDescent="0.25">
      <c r="A155" s="7" t="s">
        <v>113</v>
      </c>
      <c r="B155" s="19" t="s">
        <v>407</v>
      </c>
      <c r="C155" s="25">
        <v>1</v>
      </c>
      <c r="E155" s="7"/>
      <c r="F155" s="19"/>
      <c r="G155" s="25"/>
    </row>
    <row r="156" spans="1:7" x14ac:dyDescent="0.25">
      <c r="A156" s="7"/>
      <c r="B156" s="19"/>
      <c r="C156" s="25"/>
      <c r="E156" s="7"/>
      <c r="F156" s="19"/>
      <c r="G156" s="26"/>
    </row>
    <row r="157" spans="1:7" x14ac:dyDescent="0.25">
      <c r="A157" s="7"/>
      <c r="B157" s="19"/>
      <c r="C157" s="25"/>
      <c r="E157" s="7"/>
      <c r="F157" s="19"/>
      <c r="G157" s="25"/>
    </row>
    <row r="158" spans="1:7" x14ac:dyDescent="0.25">
      <c r="A158" s="7"/>
      <c r="B158" s="19"/>
      <c r="C158" s="25"/>
      <c r="E158" s="7"/>
      <c r="F158" s="19"/>
      <c r="G158" s="25"/>
    </row>
    <row r="159" spans="1:7" x14ac:dyDescent="0.25">
      <c r="A159" s="7"/>
      <c r="B159" s="19"/>
      <c r="C159" s="25"/>
      <c r="E159" s="7"/>
      <c r="F159" s="19"/>
      <c r="G159" s="25"/>
    </row>
    <row r="160" spans="1:7" x14ac:dyDescent="0.25">
      <c r="A160" s="7"/>
      <c r="B160" s="19"/>
      <c r="C160" s="25"/>
      <c r="E160" s="7"/>
      <c r="F160" s="19"/>
      <c r="G160" s="25"/>
    </row>
    <row r="161" spans="1:7" x14ac:dyDescent="0.25">
      <c r="A161" s="7"/>
      <c r="B161" s="19"/>
      <c r="C161" s="25"/>
      <c r="E161" s="7"/>
      <c r="F161" s="19"/>
      <c r="G161" s="25"/>
    </row>
    <row r="162" spans="1:7" x14ac:dyDescent="0.25">
      <c r="A162" s="7"/>
      <c r="B162" s="19"/>
      <c r="C162" s="25"/>
      <c r="E162" s="7"/>
      <c r="F162" s="19"/>
      <c r="G162" s="25"/>
    </row>
    <row r="163" spans="1:7" x14ac:dyDescent="0.25">
      <c r="A163" s="7"/>
      <c r="B163" s="19"/>
      <c r="C163" s="25"/>
      <c r="E163" s="7"/>
      <c r="F163" s="19"/>
      <c r="G163" s="25"/>
    </row>
    <row r="164" spans="1:7" x14ac:dyDescent="0.25">
      <c r="A164" s="7"/>
      <c r="B164" s="19"/>
      <c r="C164" s="25"/>
      <c r="E164" s="7"/>
      <c r="F164" s="19"/>
      <c r="G164" s="25"/>
    </row>
    <row r="165" spans="1:7" x14ac:dyDescent="0.25">
      <c r="A165" s="7"/>
      <c r="B165" s="19"/>
      <c r="C165" s="25"/>
      <c r="E165" s="7"/>
      <c r="F165" s="19"/>
      <c r="G165" s="25"/>
    </row>
    <row r="166" spans="1:7" x14ac:dyDescent="0.25">
      <c r="A166" s="7"/>
      <c r="B166" s="19"/>
      <c r="C166" s="25"/>
      <c r="E166" s="7"/>
      <c r="F166" s="19"/>
      <c r="G166" s="25"/>
    </row>
    <row r="167" spans="1:7" x14ac:dyDescent="0.25">
      <c r="A167" s="7"/>
      <c r="B167" s="19"/>
      <c r="C167" s="25"/>
      <c r="E167" s="7"/>
      <c r="F167" s="19"/>
      <c r="G167" s="24"/>
    </row>
    <row r="168" spans="1:7" x14ac:dyDescent="0.25">
      <c r="A168" s="7"/>
      <c r="B168" s="19"/>
      <c r="C168" s="25"/>
      <c r="E168" s="7"/>
      <c r="F168" s="19"/>
      <c r="G168" s="25"/>
    </row>
    <row r="169" spans="1:7" x14ac:dyDescent="0.25">
      <c r="A169" s="7"/>
      <c r="B169" s="19"/>
      <c r="C169" s="25"/>
      <c r="E169" s="7"/>
      <c r="F169" s="19"/>
      <c r="G169" s="25"/>
    </row>
    <row r="170" spans="1:7" x14ac:dyDescent="0.25">
      <c r="A170" s="7"/>
      <c r="B170" s="19"/>
      <c r="C170" s="25"/>
      <c r="E170" s="7"/>
      <c r="F170" s="19"/>
      <c r="G170" s="25"/>
    </row>
    <row r="171" spans="1:7" x14ac:dyDescent="0.25">
      <c r="A171" s="7"/>
      <c r="B171" s="19"/>
      <c r="C171" s="25"/>
      <c r="E171" s="7"/>
      <c r="F171" s="19"/>
      <c r="G171" s="25"/>
    </row>
    <row r="172" spans="1:7" x14ac:dyDescent="0.25">
      <c r="A172" s="7"/>
      <c r="B172" s="19"/>
      <c r="C172" s="25"/>
      <c r="E172" s="7"/>
      <c r="F172" s="19"/>
      <c r="G172" s="25"/>
    </row>
    <row r="173" spans="1:7" x14ac:dyDescent="0.25">
      <c r="A173" s="7"/>
      <c r="B173" s="19"/>
      <c r="C173" s="25"/>
      <c r="E173" s="7"/>
      <c r="F173" s="19"/>
      <c r="G173" s="25"/>
    </row>
    <row r="174" spans="1:7" x14ac:dyDescent="0.25">
      <c r="A174" s="7"/>
      <c r="B174" s="19"/>
      <c r="C174" s="25"/>
      <c r="E174" s="7"/>
      <c r="F174" s="19"/>
      <c r="G174" s="25"/>
    </row>
    <row r="175" spans="1:7" x14ac:dyDescent="0.25">
      <c r="A175" s="7"/>
      <c r="B175" s="19"/>
      <c r="C175" s="25"/>
      <c r="E175" s="7"/>
      <c r="F175" s="19"/>
      <c r="G175" s="25"/>
    </row>
    <row r="176" spans="1:7" x14ac:dyDescent="0.25">
      <c r="A176" s="7"/>
      <c r="B176" s="19"/>
      <c r="C176" s="25"/>
      <c r="E176" s="7"/>
      <c r="F176" s="19"/>
      <c r="G176" s="25"/>
    </row>
    <row r="177" spans="1:7" x14ac:dyDescent="0.25">
      <c r="A177" s="7"/>
      <c r="B177" s="19"/>
      <c r="C177" s="25"/>
      <c r="D177" s="27"/>
      <c r="E177" s="7"/>
      <c r="F177" s="19"/>
      <c r="G177" s="25"/>
    </row>
    <row r="178" spans="1:7" x14ac:dyDescent="0.25">
      <c r="A178" s="7"/>
      <c r="B178" s="19"/>
      <c r="C178" s="26"/>
      <c r="E178" s="7"/>
      <c r="F178" s="19"/>
      <c r="G178" s="25"/>
    </row>
    <row r="179" spans="1:7" x14ac:dyDescent="0.25">
      <c r="A179" s="7"/>
      <c r="B179" s="19"/>
      <c r="C179" s="26"/>
      <c r="E179" s="7"/>
      <c r="F179" s="19"/>
      <c r="G179" s="25"/>
    </row>
    <row r="180" spans="1:7" x14ac:dyDescent="0.25">
      <c r="A180" s="7"/>
      <c r="B180" s="19"/>
      <c r="C180" s="25"/>
      <c r="E180" s="7"/>
      <c r="F180" s="19"/>
      <c r="G180" s="25"/>
    </row>
    <row r="181" spans="1:7" x14ac:dyDescent="0.25">
      <c r="A181" s="7"/>
      <c r="B181" s="19"/>
      <c r="C181" s="25"/>
      <c r="E181" s="7"/>
      <c r="F181" s="19"/>
      <c r="G181" s="25"/>
    </row>
    <row r="182" spans="1:7" x14ac:dyDescent="0.25">
      <c r="A182" s="7"/>
      <c r="B182" s="19"/>
      <c r="C182" s="25"/>
      <c r="E182" s="7"/>
      <c r="F182" s="19"/>
      <c r="G182" s="25"/>
    </row>
    <row r="183" spans="1:7" x14ac:dyDescent="0.25">
      <c r="A183" s="7"/>
      <c r="B183" s="19"/>
      <c r="C183" s="25"/>
      <c r="E183" s="7"/>
      <c r="F183" s="19"/>
      <c r="G183" s="25"/>
    </row>
    <row r="184" spans="1:7" x14ac:dyDescent="0.25">
      <c r="A184" s="7"/>
      <c r="B184" s="19"/>
      <c r="C184" s="25"/>
      <c r="E184" s="7"/>
      <c r="F184" s="19"/>
      <c r="G184" s="25"/>
    </row>
  </sheetData>
  <sortState ref="E56:G81">
    <sortCondition ref="E55"/>
  </sortState>
  <mergeCells count="9">
    <mergeCell ref="A145:C145"/>
    <mergeCell ref="E145:G145"/>
    <mergeCell ref="B6:F6"/>
    <mergeCell ref="A7:C7"/>
    <mergeCell ref="E7:G7"/>
    <mergeCell ref="E53:G53"/>
    <mergeCell ref="A99:C99"/>
    <mergeCell ref="E99:G99"/>
    <mergeCell ref="A53:C53"/>
  </mergeCells>
  <pageMargins left="0.25" right="0.25" top="0.75" bottom="0.75" header="0.3" footer="0.3"/>
  <pageSetup fitToWidth="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5:H34"/>
  <sheetViews>
    <sheetView showGridLines="0" view="pageLayout" topLeftCell="A7" zoomScaleNormal="100" workbookViewId="0">
      <selection activeCell="E18" sqref="E18"/>
    </sheetView>
  </sheetViews>
  <sheetFormatPr baseColWidth="10" defaultRowHeight="15" x14ac:dyDescent="0.25"/>
  <cols>
    <col min="1" max="1" width="16" style="1" customWidth="1"/>
    <col min="2" max="2" width="14.7109375" style="1" customWidth="1"/>
    <col min="3" max="3" width="26.7109375" style="1" customWidth="1"/>
    <col min="4" max="4" width="11.42578125" style="1" customWidth="1"/>
    <col min="5" max="5" width="12.140625" style="1" customWidth="1"/>
    <col min="6" max="6" width="18.7109375" style="1" customWidth="1"/>
    <col min="7" max="7" width="11.42578125" style="1"/>
    <col min="8" max="8" width="10.85546875" style="1" customWidth="1"/>
    <col min="9" max="16384" width="11.42578125" style="1"/>
  </cols>
  <sheetData>
    <row r="5" spans="1:8" ht="6.75" customHeight="1" x14ac:dyDescent="0.25"/>
    <row r="6" spans="1:8" ht="16.5" customHeight="1" x14ac:dyDescent="0.3">
      <c r="G6" s="18"/>
      <c r="H6" s="18"/>
    </row>
    <row r="7" spans="1:8" ht="16.5" customHeight="1" x14ac:dyDescent="0.3">
      <c r="A7" s="262" t="s">
        <v>458</v>
      </c>
      <c r="B7" s="262"/>
      <c r="C7" s="262"/>
      <c r="D7" s="262"/>
      <c r="E7" s="262"/>
      <c r="F7" s="262"/>
      <c r="G7" s="18"/>
      <c r="H7" s="18"/>
    </row>
    <row r="8" spans="1:8" ht="16.5" customHeight="1" x14ac:dyDescent="0.3">
      <c r="A8" s="152"/>
      <c r="B8" s="152"/>
      <c r="C8" s="152"/>
      <c r="D8" s="152"/>
      <c r="E8" s="152"/>
      <c r="F8" s="152"/>
      <c r="G8" s="18"/>
      <c r="H8" s="18"/>
    </row>
    <row r="9" spans="1:8" x14ac:dyDescent="0.25">
      <c r="B9" s="268" t="s">
        <v>460</v>
      </c>
      <c r="C9" s="268"/>
      <c r="D9" s="11" t="s">
        <v>459</v>
      </c>
      <c r="E9" s="11" t="s">
        <v>77</v>
      </c>
    </row>
    <row r="10" spans="1:8" x14ac:dyDescent="0.25">
      <c r="B10" s="267" t="s">
        <v>461</v>
      </c>
      <c r="C10" s="267"/>
      <c r="D10" s="3" t="s">
        <v>462</v>
      </c>
      <c r="E10" s="124">
        <v>2</v>
      </c>
    </row>
    <row r="11" spans="1:8" x14ac:dyDescent="0.25">
      <c r="B11" s="267" t="s">
        <v>463</v>
      </c>
      <c r="C11" s="267"/>
      <c r="D11" s="3" t="s">
        <v>462</v>
      </c>
      <c r="E11" s="3">
        <v>2</v>
      </c>
      <c r="F11" s="12"/>
    </row>
    <row r="12" spans="1:8" x14ac:dyDescent="0.25">
      <c r="B12" s="265" t="s">
        <v>464</v>
      </c>
      <c r="C12" s="266"/>
      <c r="D12" s="3">
        <v>14</v>
      </c>
      <c r="E12" s="3">
        <v>1</v>
      </c>
      <c r="F12" s="12"/>
    </row>
    <row r="13" spans="1:8" x14ac:dyDescent="0.25">
      <c r="B13" s="265" t="s">
        <v>465</v>
      </c>
      <c r="C13" s="266"/>
      <c r="D13" s="3">
        <v>14</v>
      </c>
      <c r="E13" s="3">
        <v>0</v>
      </c>
      <c r="F13" s="12"/>
    </row>
    <row r="14" spans="1:8" x14ac:dyDescent="0.25">
      <c r="B14" s="265" t="s">
        <v>468</v>
      </c>
      <c r="C14" s="266"/>
      <c r="D14" s="3" t="s">
        <v>466</v>
      </c>
      <c r="E14" s="146">
        <v>2</v>
      </c>
      <c r="F14" s="12"/>
    </row>
    <row r="15" spans="1:8" x14ac:dyDescent="0.25">
      <c r="B15" s="265" t="s">
        <v>468</v>
      </c>
      <c r="C15" s="266"/>
      <c r="D15" s="3" t="s">
        <v>467</v>
      </c>
      <c r="E15" s="3">
        <v>5</v>
      </c>
      <c r="F15" s="12"/>
    </row>
    <row r="16" spans="1:8" x14ac:dyDescent="0.25">
      <c r="B16" s="265" t="s">
        <v>468</v>
      </c>
      <c r="C16" s="266"/>
      <c r="D16" s="3" t="s">
        <v>469</v>
      </c>
      <c r="E16" s="3">
        <v>4</v>
      </c>
      <c r="F16" s="12"/>
    </row>
    <row r="17" spans="2:6" x14ac:dyDescent="0.25">
      <c r="B17" s="265" t="s">
        <v>470</v>
      </c>
      <c r="C17" s="266"/>
      <c r="D17" s="3" t="s">
        <v>471</v>
      </c>
      <c r="E17" s="3">
        <v>2</v>
      </c>
      <c r="F17" s="12"/>
    </row>
    <row r="18" spans="2:6" x14ac:dyDescent="0.25">
      <c r="B18" s="265" t="s">
        <v>472</v>
      </c>
      <c r="C18" s="266"/>
      <c r="D18" s="3" t="s">
        <v>467</v>
      </c>
      <c r="E18" s="3">
        <v>1</v>
      </c>
      <c r="F18" s="12"/>
    </row>
    <row r="19" spans="2:6" x14ac:dyDescent="0.25">
      <c r="B19" s="265" t="s">
        <v>474</v>
      </c>
      <c r="C19" s="266" t="s">
        <v>256</v>
      </c>
      <c r="D19" s="3">
        <v>28</v>
      </c>
      <c r="E19" s="3">
        <v>2</v>
      </c>
      <c r="F19" s="12"/>
    </row>
    <row r="20" spans="2:6" x14ac:dyDescent="0.25">
      <c r="B20" s="265" t="s">
        <v>473</v>
      </c>
      <c r="C20" s="266" t="s">
        <v>256</v>
      </c>
      <c r="D20" s="3">
        <v>8</v>
      </c>
      <c r="E20" s="3">
        <v>7</v>
      </c>
      <c r="F20" s="12"/>
    </row>
    <row r="21" spans="2:6" x14ac:dyDescent="0.25">
      <c r="B21" s="265" t="s">
        <v>473</v>
      </c>
      <c r="C21" s="266" t="s">
        <v>256</v>
      </c>
      <c r="D21" s="3">
        <v>10</v>
      </c>
      <c r="E21" s="127">
        <v>9</v>
      </c>
      <c r="F21" s="12"/>
    </row>
    <row r="22" spans="2:6" x14ac:dyDescent="0.25">
      <c r="B22" s="265" t="s">
        <v>473</v>
      </c>
      <c r="C22" s="266" t="s">
        <v>256</v>
      </c>
      <c r="D22" s="17">
        <v>12</v>
      </c>
      <c r="E22" s="3">
        <v>9</v>
      </c>
      <c r="F22" s="12"/>
    </row>
    <row r="23" spans="2:6" x14ac:dyDescent="0.25">
      <c r="B23" s="265" t="s">
        <v>473</v>
      </c>
      <c r="C23" s="266" t="s">
        <v>256</v>
      </c>
      <c r="D23" s="3">
        <v>16</v>
      </c>
      <c r="E23" s="3">
        <v>1</v>
      </c>
      <c r="F23" s="12"/>
    </row>
    <row r="24" spans="2:6" x14ac:dyDescent="0.25">
      <c r="B24" s="265" t="s">
        <v>473</v>
      </c>
      <c r="C24" s="266" t="s">
        <v>256</v>
      </c>
      <c r="D24" s="3">
        <v>18</v>
      </c>
      <c r="E24" s="3">
        <v>1</v>
      </c>
      <c r="F24" s="12"/>
    </row>
    <row r="25" spans="2:6" x14ac:dyDescent="0.25">
      <c r="B25" s="265" t="s">
        <v>473</v>
      </c>
      <c r="C25" s="266" t="s">
        <v>256</v>
      </c>
      <c r="D25" s="3">
        <v>26</v>
      </c>
      <c r="E25" s="3">
        <v>1</v>
      </c>
    </row>
    <row r="26" spans="2:6" x14ac:dyDescent="0.25">
      <c r="B26" s="265" t="s">
        <v>473</v>
      </c>
      <c r="C26" s="266" t="s">
        <v>256</v>
      </c>
      <c r="D26" s="3">
        <v>30</v>
      </c>
      <c r="E26" s="3">
        <v>1</v>
      </c>
    </row>
    <row r="27" spans="2:6" x14ac:dyDescent="0.25">
      <c r="B27" s="265" t="s">
        <v>474</v>
      </c>
      <c r="C27" s="266" t="s">
        <v>46</v>
      </c>
      <c r="D27" s="3">
        <v>30</v>
      </c>
      <c r="E27" s="3">
        <v>0</v>
      </c>
    </row>
    <row r="28" spans="2:6" x14ac:dyDescent="0.25">
      <c r="B28" s="265" t="s">
        <v>475</v>
      </c>
      <c r="C28" s="266" t="s">
        <v>260</v>
      </c>
      <c r="D28" s="3">
        <v>12</v>
      </c>
      <c r="E28" s="3">
        <v>1</v>
      </c>
    </row>
    <row r="29" spans="2:6" x14ac:dyDescent="0.25">
      <c r="B29" s="265" t="s">
        <v>475</v>
      </c>
      <c r="C29" s="266" t="s">
        <v>260</v>
      </c>
      <c r="D29" s="3">
        <v>14</v>
      </c>
      <c r="E29" s="3">
        <v>0</v>
      </c>
    </row>
    <row r="30" spans="2:6" x14ac:dyDescent="0.25">
      <c r="B30" s="265" t="s">
        <v>476</v>
      </c>
      <c r="C30" s="266" t="s">
        <v>260</v>
      </c>
      <c r="D30" s="3">
        <v>36</v>
      </c>
      <c r="E30" s="3">
        <v>1</v>
      </c>
    </row>
    <row r="31" spans="2:6" x14ac:dyDescent="0.25">
      <c r="E31" s="12"/>
    </row>
    <row r="32" spans="2:6" x14ac:dyDescent="0.25">
      <c r="E32" s="12"/>
    </row>
    <row r="33" spans="5:5" x14ac:dyDescent="0.25">
      <c r="E33" s="12"/>
    </row>
    <row r="34" spans="5:5" x14ac:dyDescent="0.25">
      <c r="E34" s="12"/>
    </row>
  </sheetData>
  <mergeCells count="23">
    <mergeCell ref="B10:C10"/>
    <mergeCell ref="B11:C11"/>
    <mergeCell ref="A7:F7"/>
    <mergeCell ref="B9:C9"/>
    <mergeCell ref="B28:C28"/>
    <mergeCell ref="B21:C21"/>
    <mergeCell ref="B22:C22"/>
    <mergeCell ref="B12:C12"/>
    <mergeCell ref="B13:C13"/>
    <mergeCell ref="B14:C14"/>
    <mergeCell ref="B15:C15"/>
    <mergeCell ref="B17:C17"/>
    <mergeCell ref="B18:C18"/>
    <mergeCell ref="B20:C20"/>
    <mergeCell ref="B19:C19"/>
    <mergeCell ref="B16:C16"/>
    <mergeCell ref="B29:C29"/>
    <mergeCell ref="B30:C30"/>
    <mergeCell ref="B23:C23"/>
    <mergeCell ref="B24:C24"/>
    <mergeCell ref="B26:C26"/>
    <mergeCell ref="B25:C25"/>
    <mergeCell ref="B27:C27"/>
  </mergeCells>
  <pageMargins left="0.39370078740157483" right="0.39370078740157483" top="0.39370078740157483" bottom="0.39370078740157483" header="0.31496062992125984" footer="0.31496062992125984"/>
  <pageSetup scale="9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G135"/>
  <sheetViews>
    <sheetView showGridLines="0" view="pageLayout" topLeftCell="A16" zoomScaleNormal="100" workbookViewId="0">
      <selection activeCell="B32" sqref="B32"/>
    </sheetView>
  </sheetViews>
  <sheetFormatPr baseColWidth="10" defaultRowHeight="15" x14ac:dyDescent="0.25"/>
  <cols>
    <col min="1" max="1" width="9" style="1" bestFit="1" customWidth="1"/>
    <col min="2" max="2" width="23.5703125" style="21" customWidth="1"/>
    <col min="3" max="3" width="10.42578125" style="1" bestFit="1" customWidth="1"/>
    <col min="4" max="4" width="10.85546875" style="1" customWidth="1"/>
    <col min="5" max="5" width="8.7109375" style="1" bestFit="1" customWidth="1"/>
    <col min="6" max="6" width="26.42578125" style="21" customWidth="1"/>
    <col min="7" max="7" width="10.7109375" style="1" bestFit="1" customWidth="1"/>
    <col min="8" max="16384" width="11.42578125" style="1"/>
  </cols>
  <sheetData>
    <row r="1" spans="1:7" ht="15" customHeight="1" x14ac:dyDescent="0.25">
      <c r="E1" s="5"/>
      <c r="F1" s="23"/>
      <c r="G1" s="5"/>
    </row>
    <row r="2" spans="1:7" x14ac:dyDescent="0.25">
      <c r="E2" s="5"/>
      <c r="F2" s="23"/>
      <c r="G2" s="5"/>
    </row>
    <row r="3" spans="1:7" ht="15.75" customHeight="1" x14ac:dyDescent="0.25"/>
    <row r="6" spans="1:7" ht="18.75" x14ac:dyDescent="0.3">
      <c r="B6" s="262" t="s">
        <v>319</v>
      </c>
      <c r="C6" s="262"/>
      <c r="D6" s="262"/>
      <c r="E6" s="262"/>
      <c r="F6" s="262"/>
      <c r="G6" s="18"/>
    </row>
    <row r="7" spans="1:7" x14ac:dyDescent="0.25">
      <c r="A7" s="263"/>
      <c r="B7" s="263"/>
      <c r="C7" s="263"/>
      <c r="G7" s="6"/>
    </row>
    <row r="8" spans="1:7" ht="37.5" customHeight="1" x14ac:dyDescent="0.25">
      <c r="A8" s="20" t="s">
        <v>80</v>
      </c>
      <c r="B8" s="22" t="s">
        <v>0</v>
      </c>
      <c r="C8" s="20" t="s">
        <v>77</v>
      </c>
      <c r="E8" s="20" t="s">
        <v>80</v>
      </c>
      <c r="F8" s="22" t="s">
        <v>0</v>
      </c>
      <c r="G8" s="20" t="s">
        <v>77</v>
      </c>
    </row>
    <row r="9" spans="1:7" x14ac:dyDescent="0.25">
      <c r="A9" s="7" t="s">
        <v>113</v>
      </c>
      <c r="B9" s="19" t="s">
        <v>81</v>
      </c>
      <c r="C9" s="25">
        <v>0</v>
      </c>
      <c r="D9" s="12"/>
      <c r="E9" s="7" t="s">
        <v>150</v>
      </c>
      <c r="F9" s="19" t="s">
        <v>208</v>
      </c>
      <c r="G9" s="25">
        <v>0</v>
      </c>
    </row>
    <row r="10" spans="1:7" x14ac:dyDescent="0.25">
      <c r="A10" s="7" t="s">
        <v>113</v>
      </c>
      <c r="B10" s="19" t="s">
        <v>84</v>
      </c>
      <c r="C10" s="25">
        <v>0</v>
      </c>
      <c r="D10" s="12"/>
      <c r="E10" s="7" t="s">
        <v>150</v>
      </c>
      <c r="F10" s="19" t="s">
        <v>209</v>
      </c>
      <c r="G10" s="25">
        <v>2</v>
      </c>
    </row>
    <row r="11" spans="1:7" x14ac:dyDescent="0.25">
      <c r="A11" s="7" t="s">
        <v>113</v>
      </c>
      <c r="B11" s="19" t="s">
        <v>85</v>
      </c>
      <c r="C11" s="25">
        <v>1</v>
      </c>
      <c r="D11" s="12"/>
      <c r="E11" s="7" t="s">
        <v>113</v>
      </c>
      <c r="F11" s="19" t="s">
        <v>312</v>
      </c>
      <c r="G11" s="25">
        <v>10</v>
      </c>
    </row>
    <row r="12" spans="1:7" x14ac:dyDescent="0.25">
      <c r="A12" s="7" t="s">
        <v>113</v>
      </c>
      <c r="B12" s="19" t="s">
        <v>87</v>
      </c>
      <c r="C12" s="25">
        <v>1</v>
      </c>
      <c r="D12" s="12"/>
      <c r="E12" s="7" t="s">
        <v>113</v>
      </c>
      <c r="F12" s="115" t="s">
        <v>213</v>
      </c>
      <c r="G12" s="25">
        <v>2</v>
      </c>
    </row>
    <row r="13" spans="1:7" x14ac:dyDescent="0.25">
      <c r="A13" s="7" t="s">
        <v>113</v>
      </c>
      <c r="B13" s="19" t="s">
        <v>93</v>
      </c>
      <c r="C13" s="25">
        <v>0</v>
      </c>
      <c r="D13" s="12"/>
      <c r="E13" s="7" t="s">
        <v>113</v>
      </c>
      <c r="F13" s="19" t="s">
        <v>214</v>
      </c>
      <c r="G13" s="25">
        <v>2</v>
      </c>
    </row>
    <row r="14" spans="1:7" x14ac:dyDescent="0.25">
      <c r="A14" s="7" t="s">
        <v>113</v>
      </c>
      <c r="B14" s="19" t="s">
        <v>94</v>
      </c>
      <c r="C14" s="25">
        <v>0</v>
      </c>
      <c r="D14" s="12"/>
      <c r="E14" s="7" t="s">
        <v>113</v>
      </c>
      <c r="F14" s="19" t="s">
        <v>215</v>
      </c>
      <c r="G14" s="25">
        <v>1</v>
      </c>
    </row>
    <row r="15" spans="1:7" x14ac:dyDescent="0.25">
      <c r="A15" s="7" t="s">
        <v>113</v>
      </c>
      <c r="B15" s="19" t="s">
        <v>95</v>
      </c>
      <c r="C15" s="25">
        <v>2</v>
      </c>
      <c r="D15" s="12"/>
      <c r="E15" s="7" t="s">
        <v>113</v>
      </c>
      <c r="F15" s="19" t="s">
        <v>216</v>
      </c>
      <c r="G15" s="25">
        <v>200</v>
      </c>
    </row>
    <row r="16" spans="1:7" x14ac:dyDescent="0.25">
      <c r="A16" s="7" t="s">
        <v>115</v>
      </c>
      <c r="B16" s="19" t="s">
        <v>99</v>
      </c>
      <c r="C16" s="25">
        <v>1</v>
      </c>
      <c r="D16" s="113"/>
      <c r="E16" s="7" t="s">
        <v>113</v>
      </c>
      <c r="F16" s="19" t="s">
        <v>265</v>
      </c>
      <c r="G16" s="25">
        <v>5</v>
      </c>
    </row>
    <row r="17" spans="1:7" x14ac:dyDescent="0.25">
      <c r="A17" s="7" t="s">
        <v>116</v>
      </c>
      <c r="B17" s="19" t="s">
        <v>100</v>
      </c>
      <c r="C17" s="24">
        <v>2</v>
      </c>
      <c r="D17" s="113"/>
      <c r="E17" s="7" t="s">
        <v>113</v>
      </c>
      <c r="F17" s="19" t="s">
        <v>217</v>
      </c>
      <c r="G17" s="25">
        <v>1</v>
      </c>
    </row>
    <row r="18" spans="1:7" x14ac:dyDescent="0.25">
      <c r="A18" s="7" t="s">
        <v>113</v>
      </c>
      <c r="B18" s="19" t="s">
        <v>101</v>
      </c>
      <c r="C18" s="25">
        <v>0</v>
      </c>
      <c r="D18" s="12"/>
      <c r="E18" s="7" t="s">
        <v>113</v>
      </c>
      <c r="F18" s="19" t="s">
        <v>218</v>
      </c>
      <c r="G18" s="25">
        <v>0</v>
      </c>
    </row>
    <row r="19" spans="1:7" x14ac:dyDescent="0.25">
      <c r="A19" s="7" t="s">
        <v>113</v>
      </c>
      <c r="B19" s="114" t="s">
        <v>103</v>
      </c>
      <c r="C19" s="25">
        <v>1</v>
      </c>
      <c r="D19" s="12"/>
      <c r="E19" s="7" t="s">
        <v>113</v>
      </c>
      <c r="F19" s="19" t="s">
        <v>219</v>
      </c>
      <c r="G19" s="25">
        <v>2</v>
      </c>
    </row>
    <row r="20" spans="1:7" x14ac:dyDescent="0.25">
      <c r="A20" s="7" t="s">
        <v>113</v>
      </c>
      <c r="B20" s="114" t="s">
        <v>104</v>
      </c>
      <c r="C20" s="25">
        <v>0</v>
      </c>
      <c r="D20" s="12"/>
      <c r="E20" s="7" t="s">
        <v>113</v>
      </c>
      <c r="F20" s="19" t="s">
        <v>220</v>
      </c>
      <c r="G20" s="25">
        <v>1</v>
      </c>
    </row>
    <row r="21" spans="1:7" x14ac:dyDescent="0.25">
      <c r="A21" s="7" t="s">
        <v>113</v>
      </c>
      <c r="B21" s="19" t="s">
        <v>105</v>
      </c>
      <c r="C21" s="25">
        <v>0</v>
      </c>
      <c r="D21" s="12"/>
      <c r="E21" s="7" t="s">
        <v>113</v>
      </c>
      <c r="F21" s="19" t="s">
        <v>221</v>
      </c>
      <c r="G21" s="25">
        <v>1</v>
      </c>
    </row>
    <row r="22" spans="1:7" x14ac:dyDescent="0.25">
      <c r="A22" s="7" t="s">
        <v>117</v>
      </c>
      <c r="B22" s="19" t="s">
        <v>106</v>
      </c>
      <c r="C22" s="25">
        <v>0</v>
      </c>
      <c r="D22" s="12"/>
      <c r="E22" s="7" t="s">
        <v>113</v>
      </c>
      <c r="F22" s="19" t="s">
        <v>222</v>
      </c>
      <c r="G22" s="25">
        <v>2</v>
      </c>
    </row>
    <row r="23" spans="1:7" x14ac:dyDescent="0.25">
      <c r="A23" s="7" t="s">
        <v>117</v>
      </c>
      <c r="B23" s="19" t="s">
        <v>107</v>
      </c>
      <c r="C23" s="25">
        <v>0</v>
      </c>
      <c r="D23" s="12"/>
      <c r="E23" s="7" t="s">
        <v>113</v>
      </c>
      <c r="F23" s="19" t="s">
        <v>223</v>
      </c>
      <c r="G23" s="25">
        <v>0</v>
      </c>
    </row>
    <row r="24" spans="1:7" x14ac:dyDescent="0.25">
      <c r="A24" s="7" t="s">
        <v>113</v>
      </c>
      <c r="B24" s="19" t="s">
        <v>108</v>
      </c>
      <c r="C24" s="25">
        <v>0</v>
      </c>
      <c r="D24" s="12"/>
      <c r="E24" s="7" t="s">
        <v>113</v>
      </c>
      <c r="F24" s="19" t="s">
        <v>282</v>
      </c>
      <c r="G24" s="25">
        <v>0</v>
      </c>
    </row>
    <row r="25" spans="1:7" x14ac:dyDescent="0.25">
      <c r="A25" s="7" t="s">
        <v>113</v>
      </c>
      <c r="B25" s="19" t="s">
        <v>109</v>
      </c>
      <c r="C25" s="25">
        <v>17</v>
      </c>
      <c r="D25" s="12"/>
      <c r="E25" s="7" t="s">
        <v>113</v>
      </c>
      <c r="F25" s="19" t="s">
        <v>224</v>
      </c>
      <c r="G25" s="25">
        <v>4</v>
      </c>
    </row>
    <row r="26" spans="1:7" x14ac:dyDescent="0.25">
      <c r="A26" s="7" t="s">
        <v>113</v>
      </c>
      <c r="B26" s="19" t="s">
        <v>203</v>
      </c>
      <c r="C26" s="25">
        <v>7</v>
      </c>
      <c r="D26" s="12"/>
      <c r="E26" s="7" t="s">
        <v>113</v>
      </c>
      <c r="F26" s="19" t="s">
        <v>225</v>
      </c>
      <c r="G26" s="25">
        <v>1</v>
      </c>
    </row>
    <row r="27" spans="1:7" x14ac:dyDescent="0.25">
      <c r="A27" s="7" t="s">
        <v>113</v>
      </c>
      <c r="B27" s="19" t="s">
        <v>120</v>
      </c>
      <c r="C27" s="25">
        <v>1</v>
      </c>
      <c r="D27" s="12"/>
      <c r="E27" s="7" t="s">
        <v>113</v>
      </c>
      <c r="F27" s="19" t="s">
        <v>226</v>
      </c>
      <c r="G27" s="25">
        <v>25</v>
      </c>
    </row>
    <row r="28" spans="1:7" x14ac:dyDescent="0.25">
      <c r="A28" s="7" t="s">
        <v>204</v>
      </c>
      <c r="B28" s="19" t="s">
        <v>205</v>
      </c>
      <c r="C28" s="25">
        <v>6</v>
      </c>
      <c r="D28" s="12"/>
      <c r="E28" s="7" t="s">
        <v>185</v>
      </c>
      <c r="F28" s="19" t="s">
        <v>227</v>
      </c>
      <c r="G28" s="25">
        <v>10</v>
      </c>
    </row>
    <row r="29" spans="1:7" x14ac:dyDescent="0.25">
      <c r="A29" s="7" t="s">
        <v>113</v>
      </c>
      <c r="B29" s="115" t="s">
        <v>152</v>
      </c>
      <c r="C29" s="24">
        <v>4</v>
      </c>
      <c r="D29" s="12"/>
      <c r="E29" s="7" t="s">
        <v>113</v>
      </c>
      <c r="F29" s="19" t="s">
        <v>228</v>
      </c>
      <c r="G29" s="25">
        <v>0</v>
      </c>
    </row>
    <row r="30" spans="1:7" x14ac:dyDescent="0.25">
      <c r="A30" s="7" t="s">
        <v>113</v>
      </c>
      <c r="B30" s="19" t="s">
        <v>125</v>
      </c>
      <c r="C30" s="25">
        <v>0</v>
      </c>
      <c r="D30" s="12"/>
      <c r="E30" s="7" t="s">
        <v>113</v>
      </c>
      <c r="F30" s="19" t="s">
        <v>229</v>
      </c>
      <c r="G30" s="25">
        <v>0</v>
      </c>
    </row>
    <row r="31" spans="1:7" x14ac:dyDescent="0.25">
      <c r="A31" s="7" t="s">
        <v>113</v>
      </c>
      <c r="B31" s="19" t="s">
        <v>126</v>
      </c>
      <c r="C31" s="25">
        <v>2</v>
      </c>
      <c r="D31" s="12"/>
      <c r="E31" s="7" t="s">
        <v>237</v>
      </c>
      <c r="F31" s="19" t="s">
        <v>230</v>
      </c>
      <c r="G31" s="25">
        <v>0</v>
      </c>
    </row>
    <row r="32" spans="1:7" x14ac:dyDescent="0.25">
      <c r="A32" s="7" t="s">
        <v>113</v>
      </c>
      <c r="B32" s="19" t="s">
        <v>127</v>
      </c>
      <c r="C32" s="25">
        <v>0</v>
      </c>
      <c r="D32" s="12"/>
      <c r="E32" s="7" t="s">
        <v>113</v>
      </c>
      <c r="F32" s="19" t="s">
        <v>231</v>
      </c>
      <c r="G32" s="25">
        <v>0</v>
      </c>
    </row>
    <row r="33" spans="1:7" x14ac:dyDescent="0.25">
      <c r="A33" s="7" t="s">
        <v>113</v>
      </c>
      <c r="B33" s="19" t="s">
        <v>174</v>
      </c>
      <c r="C33" s="25">
        <v>1</v>
      </c>
      <c r="D33" s="12"/>
      <c r="E33" s="7" t="s">
        <v>113</v>
      </c>
      <c r="F33" s="19" t="s">
        <v>232</v>
      </c>
      <c r="G33" s="25">
        <v>9</v>
      </c>
    </row>
    <row r="34" spans="1:7" x14ac:dyDescent="0.25">
      <c r="A34" s="7" t="s">
        <v>113</v>
      </c>
      <c r="B34" s="19" t="s">
        <v>175</v>
      </c>
      <c r="C34" s="25">
        <v>1</v>
      </c>
      <c r="D34" s="12"/>
      <c r="E34" s="7" t="s">
        <v>113</v>
      </c>
      <c r="F34" s="19" t="s">
        <v>233</v>
      </c>
      <c r="G34" s="25">
        <v>120</v>
      </c>
    </row>
    <row r="35" spans="1:7" x14ac:dyDescent="0.25">
      <c r="A35" s="7" t="s">
        <v>113</v>
      </c>
      <c r="B35" s="19" t="s">
        <v>176</v>
      </c>
      <c r="C35" s="25">
        <v>2</v>
      </c>
      <c r="D35" s="12"/>
      <c r="E35" s="7" t="s">
        <v>113</v>
      </c>
      <c r="F35" s="19" t="s">
        <v>234</v>
      </c>
      <c r="G35" s="25">
        <v>1</v>
      </c>
    </row>
    <row r="36" spans="1:7" x14ac:dyDescent="0.25">
      <c r="A36" s="7" t="s">
        <v>131</v>
      </c>
      <c r="B36" s="19" t="s">
        <v>177</v>
      </c>
      <c r="C36" s="25">
        <v>1</v>
      </c>
      <c r="D36" s="12"/>
      <c r="E36" s="7" t="s">
        <v>113</v>
      </c>
      <c r="F36" s="19" t="s">
        <v>235</v>
      </c>
      <c r="G36" s="25">
        <v>0</v>
      </c>
    </row>
    <row r="37" spans="1:7" x14ac:dyDescent="0.25">
      <c r="A37" s="7" t="s">
        <v>115</v>
      </c>
      <c r="B37" s="19" t="s">
        <v>178</v>
      </c>
      <c r="C37" s="25">
        <v>1</v>
      </c>
      <c r="D37" s="12"/>
      <c r="E37" s="7" t="s">
        <v>113</v>
      </c>
      <c r="F37" s="19" t="s">
        <v>236</v>
      </c>
      <c r="G37" s="25">
        <v>5</v>
      </c>
    </row>
    <row r="38" spans="1:7" x14ac:dyDescent="0.25">
      <c r="A38" s="7" t="s">
        <v>185</v>
      </c>
      <c r="B38" s="19" t="s">
        <v>206</v>
      </c>
      <c r="C38" s="24">
        <v>1</v>
      </c>
      <c r="D38" s="12"/>
      <c r="E38" s="7" t="s">
        <v>113</v>
      </c>
      <c r="F38" s="19" t="s">
        <v>238</v>
      </c>
      <c r="G38" s="25">
        <v>2</v>
      </c>
    </row>
    <row r="39" spans="1:7" x14ac:dyDescent="0.25">
      <c r="A39" s="7" t="s">
        <v>185</v>
      </c>
      <c r="B39" s="19" t="s">
        <v>212</v>
      </c>
      <c r="C39" s="25">
        <v>2.5</v>
      </c>
      <c r="D39" s="12"/>
      <c r="E39" s="7" t="s">
        <v>113</v>
      </c>
      <c r="F39" s="19" t="s">
        <v>239</v>
      </c>
      <c r="G39" s="25">
        <v>3</v>
      </c>
    </row>
    <row r="40" spans="1:7" x14ac:dyDescent="0.25">
      <c r="A40" s="7" t="s">
        <v>113</v>
      </c>
      <c r="B40" s="19" t="s">
        <v>182</v>
      </c>
      <c r="C40" s="25">
        <v>8</v>
      </c>
      <c r="D40" s="12"/>
      <c r="E40" s="7" t="s">
        <v>113</v>
      </c>
      <c r="F40" s="19" t="s">
        <v>240</v>
      </c>
      <c r="G40" s="25">
        <v>0</v>
      </c>
    </row>
    <row r="41" spans="1:7" x14ac:dyDescent="0.25">
      <c r="A41" s="7" t="s">
        <v>113</v>
      </c>
      <c r="B41" s="19" t="s">
        <v>183</v>
      </c>
      <c r="C41" s="25">
        <v>0</v>
      </c>
      <c r="D41" s="12"/>
      <c r="E41" s="7" t="s">
        <v>113</v>
      </c>
      <c r="F41" s="19" t="s">
        <v>241</v>
      </c>
      <c r="G41" s="25">
        <v>1</v>
      </c>
    </row>
    <row r="42" spans="1:7" x14ac:dyDescent="0.25">
      <c r="A42" s="7" t="s">
        <v>115</v>
      </c>
      <c r="B42" s="19" t="s">
        <v>184</v>
      </c>
      <c r="C42" s="25">
        <v>0</v>
      </c>
      <c r="D42" s="12"/>
      <c r="E42" s="7" t="s">
        <v>113</v>
      </c>
      <c r="F42" s="19" t="s">
        <v>311</v>
      </c>
      <c r="G42" s="25">
        <v>2</v>
      </c>
    </row>
    <row r="43" spans="1:7" x14ac:dyDescent="0.25">
      <c r="A43" s="7" t="s">
        <v>113</v>
      </c>
      <c r="B43" s="19" t="s">
        <v>199</v>
      </c>
      <c r="C43" s="25">
        <v>285</v>
      </c>
      <c r="D43" s="12"/>
      <c r="E43" s="7" t="s">
        <v>113</v>
      </c>
      <c r="F43" s="19" t="s">
        <v>248</v>
      </c>
      <c r="G43" s="25">
        <v>5</v>
      </c>
    </row>
    <row r="44" spans="1:7" x14ac:dyDescent="0.25">
      <c r="A44" s="7" t="s">
        <v>113</v>
      </c>
      <c r="B44" s="19" t="s">
        <v>194</v>
      </c>
      <c r="C44" s="25">
        <v>4</v>
      </c>
      <c r="D44" s="12"/>
      <c r="E44" s="7" t="s">
        <v>237</v>
      </c>
      <c r="F44" s="19" t="s">
        <v>270</v>
      </c>
      <c r="G44" s="24">
        <v>20</v>
      </c>
    </row>
    <row r="45" spans="1:7" x14ac:dyDescent="0.25">
      <c r="A45" s="7" t="s">
        <v>150</v>
      </c>
      <c r="B45" s="19" t="s">
        <v>207</v>
      </c>
      <c r="C45" s="25">
        <v>1</v>
      </c>
      <c r="D45" s="12"/>
      <c r="E45" s="7" t="s">
        <v>113</v>
      </c>
      <c r="F45" s="19" t="s">
        <v>91</v>
      </c>
      <c r="G45" s="25">
        <v>1</v>
      </c>
    </row>
    <row r="46" spans="1:7" x14ac:dyDescent="0.25">
      <c r="E46" s="5"/>
      <c r="F46" s="23"/>
      <c r="G46" s="5"/>
    </row>
    <row r="47" spans="1:7" x14ac:dyDescent="0.25">
      <c r="E47" s="5"/>
      <c r="F47" s="23"/>
      <c r="G47" s="5"/>
    </row>
    <row r="51" spans="1:7" ht="18.75" x14ac:dyDescent="0.3">
      <c r="B51" s="262" t="s">
        <v>319</v>
      </c>
      <c r="C51" s="262"/>
      <c r="D51" s="262"/>
      <c r="E51" s="262"/>
      <c r="F51" s="262"/>
      <c r="G51" s="18"/>
    </row>
    <row r="52" spans="1:7" x14ac:dyDescent="0.25">
      <c r="G52" s="6"/>
    </row>
    <row r="53" spans="1:7" x14ac:dyDescent="0.25">
      <c r="A53" s="20" t="s">
        <v>80</v>
      </c>
      <c r="B53" s="22" t="s">
        <v>0</v>
      </c>
      <c r="C53" s="20" t="s">
        <v>77</v>
      </c>
      <c r="E53" s="20" t="s">
        <v>80</v>
      </c>
      <c r="F53" s="22" t="s">
        <v>0</v>
      </c>
      <c r="G53" s="20" t="s">
        <v>77</v>
      </c>
    </row>
    <row r="54" spans="1:7" x14ac:dyDescent="0.25">
      <c r="A54" s="7" t="s">
        <v>113</v>
      </c>
      <c r="B54" s="19" t="s">
        <v>92</v>
      </c>
      <c r="C54" s="25">
        <v>3</v>
      </c>
      <c r="E54" s="7"/>
      <c r="F54" s="19"/>
      <c r="G54" s="25"/>
    </row>
    <row r="55" spans="1:7" x14ac:dyDescent="0.25">
      <c r="A55" s="7" t="s">
        <v>237</v>
      </c>
      <c r="B55" s="19" t="s">
        <v>309</v>
      </c>
      <c r="C55" s="25">
        <v>20</v>
      </c>
      <c r="E55" s="7"/>
      <c r="F55" s="19"/>
      <c r="G55" s="25"/>
    </row>
    <row r="56" spans="1:7" x14ac:dyDescent="0.25">
      <c r="A56" s="7" t="s">
        <v>113</v>
      </c>
      <c r="B56" s="115" t="s">
        <v>315</v>
      </c>
      <c r="C56" s="25">
        <v>1</v>
      </c>
      <c r="E56" s="7"/>
      <c r="F56" s="19"/>
      <c r="G56" s="25"/>
    </row>
    <row r="57" spans="1:7" x14ac:dyDescent="0.25">
      <c r="A57" s="7" t="s">
        <v>113</v>
      </c>
      <c r="B57" s="19" t="s">
        <v>316</v>
      </c>
      <c r="C57" s="26">
        <v>1</v>
      </c>
      <c r="E57" s="7"/>
      <c r="F57" s="19"/>
      <c r="G57" s="25"/>
    </row>
    <row r="58" spans="1:7" x14ac:dyDescent="0.25">
      <c r="A58" s="7" t="s">
        <v>113</v>
      </c>
      <c r="B58" s="19" t="s">
        <v>266</v>
      </c>
      <c r="C58" s="25">
        <v>0</v>
      </c>
      <c r="E58" s="7"/>
      <c r="F58" s="19"/>
      <c r="G58" s="25"/>
    </row>
    <row r="59" spans="1:7" x14ac:dyDescent="0.25">
      <c r="A59" s="7" t="s">
        <v>113</v>
      </c>
      <c r="B59" s="19" t="s">
        <v>137</v>
      </c>
      <c r="C59" s="25">
        <v>1</v>
      </c>
      <c r="E59" s="7"/>
      <c r="F59" s="19"/>
      <c r="G59" s="25"/>
    </row>
    <row r="60" spans="1:7" x14ac:dyDescent="0.25">
      <c r="A60" s="7"/>
      <c r="B60" s="19"/>
      <c r="C60" s="25"/>
      <c r="E60" s="7"/>
      <c r="F60" s="19"/>
      <c r="G60" s="25"/>
    </row>
    <row r="61" spans="1:7" x14ac:dyDescent="0.25">
      <c r="A61" s="7"/>
      <c r="B61" s="19"/>
      <c r="C61" s="25"/>
      <c r="E61" s="7"/>
      <c r="F61" s="19"/>
      <c r="G61" s="25"/>
    </row>
    <row r="62" spans="1:7" x14ac:dyDescent="0.25">
      <c r="A62" s="7"/>
      <c r="B62" s="19"/>
      <c r="C62" s="25"/>
      <c r="E62" s="7"/>
      <c r="F62" s="19"/>
      <c r="G62" s="25"/>
    </row>
    <row r="63" spans="1:7" x14ac:dyDescent="0.25">
      <c r="A63" s="7"/>
      <c r="B63" s="19"/>
      <c r="C63" s="25"/>
      <c r="E63" s="7"/>
      <c r="F63" s="19"/>
      <c r="G63" s="25"/>
    </row>
    <row r="64" spans="1:7" x14ac:dyDescent="0.25">
      <c r="A64" s="7"/>
      <c r="B64" s="19"/>
      <c r="C64" s="25"/>
      <c r="E64" s="7"/>
      <c r="F64" s="19"/>
      <c r="G64" s="25"/>
    </row>
    <row r="65" spans="1:7" x14ac:dyDescent="0.25">
      <c r="A65" s="7"/>
      <c r="B65" s="19"/>
      <c r="C65" s="25"/>
      <c r="D65" s="12"/>
      <c r="E65" s="7"/>
      <c r="F65" s="19"/>
      <c r="G65" s="25"/>
    </row>
    <row r="66" spans="1:7" x14ac:dyDescent="0.25">
      <c r="A66" s="7"/>
      <c r="B66" s="19"/>
      <c r="C66" s="25"/>
      <c r="D66" s="12"/>
      <c r="E66" s="7"/>
      <c r="F66" s="19"/>
      <c r="G66" s="25"/>
    </row>
    <row r="67" spans="1:7" x14ac:dyDescent="0.25">
      <c r="A67" s="7"/>
      <c r="B67" s="19"/>
      <c r="C67" s="25"/>
      <c r="D67" s="12"/>
      <c r="E67" s="7"/>
      <c r="F67" s="19"/>
      <c r="G67" s="25"/>
    </row>
    <row r="68" spans="1:7" x14ac:dyDescent="0.25">
      <c r="A68" s="7"/>
      <c r="B68" s="19"/>
      <c r="C68" s="25"/>
      <c r="D68" s="12"/>
      <c r="E68" s="7"/>
      <c r="F68" s="19"/>
      <c r="G68" s="25"/>
    </row>
    <row r="69" spans="1:7" x14ac:dyDescent="0.25">
      <c r="A69" s="7"/>
      <c r="B69" s="19"/>
      <c r="C69" s="25"/>
      <c r="D69" s="12"/>
      <c r="E69" s="7"/>
      <c r="F69" s="19"/>
      <c r="G69" s="25"/>
    </row>
    <row r="70" spans="1:7" x14ac:dyDescent="0.25">
      <c r="A70" s="7"/>
      <c r="B70" s="19"/>
      <c r="C70" s="25"/>
      <c r="D70" s="12"/>
      <c r="E70" s="7"/>
      <c r="F70" s="19"/>
      <c r="G70" s="25"/>
    </row>
    <row r="71" spans="1:7" x14ac:dyDescent="0.25">
      <c r="A71" s="7"/>
      <c r="B71" s="19"/>
      <c r="C71" s="25"/>
      <c r="D71" s="12"/>
      <c r="E71" s="7"/>
      <c r="F71" s="19"/>
      <c r="G71" s="25"/>
    </row>
    <row r="72" spans="1:7" x14ac:dyDescent="0.25">
      <c r="A72" s="7"/>
      <c r="B72" s="19"/>
      <c r="C72" s="25"/>
      <c r="D72" s="12"/>
      <c r="E72" s="7"/>
      <c r="F72" s="19"/>
      <c r="G72" s="25"/>
    </row>
    <row r="73" spans="1:7" x14ac:dyDescent="0.25">
      <c r="A73" s="7"/>
      <c r="B73" s="19"/>
      <c r="C73" s="25"/>
      <c r="D73" s="12"/>
      <c r="E73" s="7"/>
      <c r="F73" s="19"/>
      <c r="G73" s="25"/>
    </row>
    <row r="74" spans="1:7" x14ac:dyDescent="0.25">
      <c r="A74" s="7"/>
      <c r="B74" s="19"/>
      <c r="C74" s="24"/>
      <c r="D74" s="12"/>
      <c r="E74" s="7"/>
      <c r="F74" s="19"/>
      <c r="G74" s="25"/>
    </row>
    <row r="75" spans="1:7" x14ac:dyDescent="0.25">
      <c r="A75" s="7"/>
      <c r="B75" s="19"/>
      <c r="C75" s="25"/>
      <c r="D75" s="12"/>
      <c r="E75" s="7"/>
      <c r="F75" s="19"/>
      <c r="G75" s="25"/>
    </row>
    <row r="76" spans="1:7" x14ac:dyDescent="0.25">
      <c r="A76" s="7"/>
      <c r="B76" s="19"/>
      <c r="C76" s="24"/>
      <c r="D76" s="12"/>
      <c r="E76" s="7"/>
      <c r="F76" s="19"/>
      <c r="G76" s="25"/>
    </row>
    <row r="77" spans="1:7" x14ac:dyDescent="0.25">
      <c r="A77" s="7"/>
      <c r="B77" s="19"/>
      <c r="C77" s="25"/>
      <c r="D77" s="12"/>
      <c r="E77" s="7"/>
      <c r="F77" s="19"/>
      <c r="G77" s="25"/>
    </row>
    <row r="78" spans="1:7" x14ac:dyDescent="0.25">
      <c r="A78" s="7"/>
      <c r="B78" s="19"/>
      <c r="C78" s="25"/>
      <c r="D78" s="12"/>
      <c r="E78" s="7"/>
      <c r="F78" s="19"/>
      <c r="G78" s="25"/>
    </row>
    <row r="79" spans="1:7" x14ac:dyDescent="0.25">
      <c r="A79" s="7"/>
      <c r="B79" s="19"/>
      <c r="C79" s="24"/>
      <c r="D79" s="12"/>
      <c r="E79" s="7"/>
      <c r="F79" s="19"/>
      <c r="G79" s="25"/>
    </row>
    <row r="80" spans="1:7" x14ac:dyDescent="0.25">
      <c r="A80" s="7"/>
      <c r="B80" s="19"/>
      <c r="C80" s="25"/>
      <c r="D80" s="12"/>
      <c r="E80" s="7"/>
      <c r="F80" s="19"/>
      <c r="G80" s="25"/>
    </row>
    <row r="81" spans="1:7" x14ac:dyDescent="0.25">
      <c r="A81" s="7"/>
      <c r="B81" s="19"/>
      <c r="C81" s="25"/>
      <c r="D81" s="12"/>
      <c r="E81" s="7"/>
      <c r="F81" s="19"/>
      <c r="G81" s="25"/>
    </row>
    <row r="82" spans="1:7" x14ac:dyDescent="0.25">
      <c r="A82" s="7"/>
      <c r="B82" s="19"/>
      <c r="C82" s="25"/>
      <c r="D82" s="12"/>
      <c r="E82" s="7"/>
      <c r="F82" s="19"/>
      <c r="G82" s="25"/>
    </row>
    <row r="83" spans="1:7" x14ac:dyDescent="0.25">
      <c r="A83" s="7"/>
      <c r="B83" s="19"/>
      <c r="C83" s="25"/>
      <c r="D83" s="12"/>
      <c r="E83" s="7"/>
      <c r="F83" s="19"/>
      <c r="G83" s="25"/>
    </row>
    <row r="84" spans="1:7" x14ac:dyDescent="0.25">
      <c r="A84" s="7"/>
      <c r="B84" s="19"/>
      <c r="C84" s="25"/>
      <c r="D84" s="112"/>
      <c r="E84" s="7"/>
      <c r="F84" s="19"/>
      <c r="G84" s="25"/>
    </row>
    <row r="85" spans="1:7" x14ac:dyDescent="0.25">
      <c r="A85" s="7"/>
      <c r="B85" s="19"/>
      <c r="C85" s="25"/>
      <c r="D85" s="12"/>
      <c r="E85" s="7"/>
      <c r="F85" s="19"/>
      <c r="G85" s="25"/>
    </row>
    <row r="86" spans="1:7" x14ac:dyDescent="0.25">
      <c r="A86" s="7"/>
      <c r="B86" s="19"/>
      <c r="C86" s="25"/>
      <c r="D86" s="12"/>
      <c r="E86" s="7"/>
      <c r="F86" s="19"/>
      <c r="G86" s="25"/>
    </row>
    <row r="87" spans="1:7" x14ac:dyDescent="0.25">
      <c r="A87" s="7"/>
      <c r="B87" s="19"/>
      <c r="C87" s="25"/>
      <c r="D87" s="12"/>
      <c r="E87" s="7"/>
      <c r="F87" s="19"/>
      <c r="G87" s="25"/>
    </row>
    <row r="88" spans="1:7" x14ac:dyDescent="0.25">
      <c r="A88" s="7"/>
      <c r="B88" s="19"/>
      <c r="C88" s="25"/>
      <c r="D88" s="12"/>
      <c r="E88" s="7"/>
      <c r="F88" s="19"/>
      <c r="G88" s="25"/>
    </row>
    <row r="89" spans="1:7" x14ac:dyDescent="0.25">
      <c r="A89" s="7"/>
      <c r="B89" s="19"/>
      <c r="C89" s="25"/>
      <c r="D89" s="12"/>
      <c r="E89" s="7"/>
      <c r="F89" s="19"/>
      <c r="G89" s="25"/>
    </row>
    <row r="90" spans="1:7" x14ac:dyDescent="0.25">
      <c r="A90" s="7"/>
      <c r="B90" s="19"/>
      <c r="C90" s="25"/>
      <c r="D90" s="12"/>
      <c r="E90" s="7"/>
      <c r="F90" s="19"/>
      <c r="G90" s="25"/>
    </row>
    <row r="96" spans="1:7" ht="18.75" x14ac:dyDescent="0.3">
      <c r="B96" s="262" t="s">
        <v>263</v>
      </c>
      <c r="C96" s="262"/>
      <c r="D96" s="262"/>
      <c r="E96" s="262"/>
      <c r="F96" s="262"/>
      <c r="G96" s="18"/>
    </row>
    <row r="97" spans="1:7" x14ac:dyDescent="0.25">
      <c r="G97" s="6"/>
    </row>
    <row r="98" spans="1:7" x14ac:dyDescent="0.25">
      <c r="A98" s="20" t="s">
        <v>80</v>
      </c>
      <c r="B98" s="22" t="s">
        <v>0</v>
      </c>
      <c r="C98" s="20" t="s">
        <v>77</v>
      </c>
      <c r="E98" s="20" t="s">
        <v>80</v>
      </c>
      <c r="F98" s="22" t="s">
        <v>0</v>
      </c>
      <c r="G98" s="20" t="s">
        <v>77</v>
      </c>
    </row>
    <row r="99" spans="1:7" x14ac:dyDescent="0.25">
      <c r="A99" s="7" t="s">
        <v>113</v>
      </c>
      <c r="B99" s="19" t="s">
        <v>241</v>
      </c>
      <c r="C99" s="25">
        <v>1</v>
      </c>
      <c r="E99" s="7"/>
      <c r="F99" s="19"/>
      <c r="G99" s="25"/>
    </row>
    <row r="100" spans="1:7" x14ac:dyDescent="0.25">
      <c r="A100" s="7" t="s">
        <v>113</v>
      </c>
      <c r="B100" s="19" t="s">
        <v>311</v>
      </c>
      <c r="C100" s="25">
        <v>2</v>
      </c>
      <c r="E100" s="7"/>
      <c r="F100" s="19"/>
      <c r="G100" s="25"/>
    </row>
    <row r="101" spans="1:7" x14ac:dyDescent="0.25">
      <c r="A101" s="7" t="s">
        <v>113</v>
      </c>
      <c r="B101" s="19"/>
      <c r="C101" s="25">
        <v>0</v>
      </c>
      <c r="E101" s="7"/>
      <c r="F101" s="19"/>
      <c r="G101" s="25"/>
    </row>
    <row r="102" spans="1:7" x14ac:dyDescent="0.25">
      <c r="A102" s="7" t="s">
        <v>113</v>
      </c>
      <c r="B102" s="19"/>
      <c r="C102" s="26">
        <v>0</v>
      </c>
      <c r="E102" s="7"/>
      <c r="F102" s="19"/>
      <c r="G102" s="26"/>
    </row>
    <row r="103" spans="1:7" x14ac:dyDescent="0.25">
      <c r="A103" s="7" t="s">
        <v>113</v>
      </c>
      <c r="B103" s="19"/>
      <c r="C103" s="26">
        <v>0</v>
      </c>
      <c r="E103" s="7"/>
      <c r="F103" s="19"/>
      <c r="G103" s="26"/>
    </row>
    <row r="104" spans="1:7" x14ac:dyDescent="0.25">
      <c r="A104" s="29" t="s">
        <v>113</v>
      </c>
      <c r="B104" s="30" t="s">
        <v>248</v>
      </c>
      <c r="C104" s="31">
        <v>5</v>
      </c>
      <c r="E104" s="7"/>
      <c r="F104" s="19"/>
      <c r="G104" s="25"/>
    </row>
    <row r="105" spans="1:7" x14ac:dyDescent="0.25">
      <c r="A105" s="7" t="s">
        <v>113</v>
      </c>
      <c r="B105" s="19"/>
      <c r="C105" s="25">
        <v>0</v>
      </c>
      <c r="E105" s="7"/>
      <c r="F105" s="19"/>
      <c r="G105" s="25"/>
    </row>
    <row r="106" spans="1:7" x14ac:dyDescent="0.25">
      <c r="A106" s="7" t="s">
        <v>113</v>
      </c>
      <c r="B106" s="19"/>
      <c r="C106" s="25">
        <v>0</v>
      </c>
      <c r="E106" s="7"/>
      <c r="F106" s="19"/>
      <c r="G106" s="25"/>
    </row>
    <row r="107" spans="1:7" x14ac:dyDescent="0.25">
      <c r="A107" s="7" t="s">
        <v>113</v>
      </c>
      <c r="B107" s="19"/>
      <c r="C107" s="25">
        <v>0</v>
      </c>
      <c r="E107" s="7"/>
      <c r="F107" s="19"/>
      <c r="G107" s="25"/>
    </row>
    <row r="108" spans="1:7" x14ac:dyDescent="0.25">
      <c r="A108" s="7" t="s">
        <v>113</v>
      </c>
      <c r="B108" s="19"/>
      <c r="C108" s="25">
        <v>2</v>
      </c>
      <c r="E108" s="7"/>
      <c r="F108" s="19"/>
      <c r="G108" s="25"/>
    </row>
    <row r="109" spans="1:7" x14ac:dyDescent="0.25">
      <c r="A109" s="7" t="s">
        <v>237</v>
      </c>
      <c r="B109" s="19" t="s">
        <v>270</v>
      </c>
      <c r="C109" s="24">
        <v>20</v>
      </c>
      <c r="E109" s="7"/>
      <c r="F109" s="19"/>
      <c r="G109" s="25"/>
    </row>
    <row r="110" spans="1:7" x14ac:dyDescent="0.25">
      <c r="A110" s="7" t="s">
        <v>113</v>
      </c>
      <c r="B110" s="19"/>
      <c r="C110" s="25">
        <v>2</v>
      </c>
      <c r="E110" s="7"/>
      <c r="F110" s="19"/>
      <c r="G110" s="25"/>
    </row>
    <row r="111" spans="1:7" x14ac:dyDescent="0.25">
      <c r="A111" s="7" t="s">
        <v>113</v>
      </c>
      <c r="B111" s="19"/>
      <c r="C111" s="25">
        <v>3</v>
      </c>
      <c r="E111" s="7"/>
      <c r="F111" s="19"/>
      <c r="G111" s="25"/>
    </row>
    <row r="112" spans="1:7" x14ac:dyDescent="0.25">
      <c r="A112" s="7" t="s">
        <v>113</v>
      </c>
      <c r="B112" s="19"/>
      <c r="C112" s="25">
        <v>2</v>
      </c>
      <c r="E112" s="7"/>
      <c r="F112" s="19"/>
      <c r="G112" s="25"/>
    </row>
    <row r="113" spans="1:7" x14ac:dyDescent="0.25">
      <c r="A113" s="7" t="s">
        <v>113</v>
      </c>
      <c r="B113" s="19"/>
      <c r="C113" s="25">
        <v>4</v>
      </c>
      <c r="E113" s="7"/>
      <c r="F113" s="19"/>
      <c r="G113" s="25"/>
    </row>
    <row r="114" spans="1:7" x14ac:dyDescent="0.25">
      <c r="A114" s="7" t="s">
        <v>113</v>
      </c>
      <c r="B114" s="19" t="s">
        <v>91</v>
      </c>
      <c r="C114" s="25">
        <v>1</v>
      </c>
      <c r="E114" s="7"/>
      <c r="F114" s="19"/>
      <c r="G114" s="25"/>
    </row>
    <row r="115" spans="1:7" x14ac:dyDescent="0.25">
      <c r="A115" s="7" t="s">
        <v>113</v>
      </c>
      <c r="B115" s="19" t="s">
        <v>92</v>
      </c>
      <c r="C115" s="25">
        <v>3</v>
      </c>
      <c r="E115" s="7"/>
      <c r="F115" s="19"/>
      <c r="G115" s="25"/>
    </row>
    <row r="116" spans="1:7" x14ac:dyDescent="0.25">
      <c r="A116" s="7" t="s">
        <v>237</v>
      </c>
      <c r="B116" s="19" t="s">
        <v>309</v>
      </c>
      <c r="C116" s="24">
        <v>20</v>
      </c>
      <c r="E116" s="7"/>
      <c r="F116" s="19"/>
      <c r="G116" s="25"/>
    </row>
    <row r="117" spans="1:7" x14ac:dyDescent="0.25">
      <c r="A117" s="7" t="s">
        <v>113</v>
      </c>
      <c r="B117" s="19" t="s">
        <v>315</v>
      </c>
      <c r="C117" s="25">
        <v>1</v>
      </c>
      <c r="E117" s="7"/>
      <c r="F117" s="19"/>
      <c r="G117" s="25"/>
    </row>
    <row r="118" spans="1:7" x14ac:dyDescent="0.25">
      <c r="A118" s="7" t="s">
        <v>113</v>
      </c>
      <c r="B118" s="19" t="s">
        <v>316</v>
      </c>
      <c r="C118" s="25">
        <v>1</v>
      </c>
      <c r="E118" s="7"/>
      <c r="F118" s="19"/>
      <c r="G118" s="25"/>
    </row>
    <row r="119" spans="1:7" x14ac:dyDescent="0.25">
      <c r="A119" s="7"/>
      <c r="B119" s="19"/>
      <c r="C119" s="24"/>
      <c r="E119" s="7"/>
      <c r="F119" s="19"/>
      <c r="G119" s="24"/>
    </row>
    <row r="120" spans="1:7" x14ac:dyDescent="0.25">
      <c r="A120" s="7"/>
      <c r="B120" s="19"/>
      <c r="C120" s="25"/>
      <c r="E120" s="7"/>
      <c r="F120" s="19"/>
      <c r="G120" s="25"/>
    </row>
    <row r="121" spans="1:7" x14ac:dyDescent="0.25">
      <c r="A121" s="7"/>
      <c r="B121" s="19"/>
      <c r="C121" s="25"/>
      <c r="E121" s="7"/>
      <c r="F121" s="19"/>
      <c r="G121" s="25"/>
    </row>
    <row r="122" spans="1:7" x14ac:dyDescent="0.25">
      <c r="A122" s="7"/>
      <c r="B122" s="19"/>
      <c r="C122" s="25"/>
      <c r="E122" s="7"/>
      <c r="F122" s="19"/>
      <c r="G122" s="25"/>
    </row>
    <row r="123" spans="1:7" x14ac:dyDescent="0.25">
      <c r="A123" s="7"/>
      <c r="B123" s="19"/>
      <c r="C123" s="25"/>
      <c r="E123" s="7"/>
      <c r="F123" s="19"/>
      <c r="G123" s="25"/>
    </row>
    <row r="124" spans="1:7" x14ac:dyDescent="0.25">
      <c r="A124" s="7"/>
      <c r="B124" s="19"/>
      <c r="C124" s="25"/>
      <c r="E124" s="7"/>
      <c r="F124" s="19"/>
      <c r="G124" s="25"/>
    </row>
    <row r="125" spans="1:7" x14ac:dyDescent="0.25">
      <c r="A125" s="7"/>
      <c r="B125" s="19"/>
      <c r="C125" s="25"/>
      <c r="E125" s="7"/>
      <c r="F125" s="19"/>
      <c r="G125" s="25"/>
    </row>
    <row r="126" spans="1:7" x14ac:dyDescent="0.25">
      <c r="A126" s="7"/>
      <c r="B126" s="19"/>
      <c r="C126" s="25"/>
      <c r="E126" s="7"/>
      <c r="F126" s="19"/>
      <c r="G126" s="25"/>
    </row>
    <row r="127" spans="1:7" x14ac:dyDescent="0.25">
      <c r="A127" s="7"/>
      <c r="B127" s="19"/>
      <c r="C127" s="25"/>
      <c r="E127" s="7"/>
      <c r="F127" s="19"/>
      <c r="G127" s="25"/>
    </row>
    <row r="128" spans="1:7" x14ac:dyDescent="0.25">
      <c r="A128" s="7"/>
      <c r="B128" s="19"/>
      <c r="C128" s="25"/>
      <c r="E128" s="7"/>
      <c r="F128" s="19"/>
      <c r="G128" s="25"/>
    </row>
    <row r="129" spans="1:7" x14ac:dyDescent="0.25">
      <c r="A129" s="7"/>
      <c r="B129" s="19"/>
      <c r="C129" s="25"/>
      <c r="D129" s="27"/>
      <c r="E129" s="7"/>
      <c r="F129" s="19"/>
      <c r="G129" s="25"/>
    </row>
    <row r="130" spans="1:7" x14ac:dyDescent="0.25">
      <c r="A130" s="7"/>
      <c r="B130" s="19"/>
      <c r="C130" s="25"/>
      <c r="E130" s="7"/>
      <c r="F130" s="19"/>
      <c r="G130" s="25"/>
    </row>
    <row r="131" spans="1:7" x14ac:dyDescent="0.25">
      <c r="A131" s="7"/>
      <c r="B131" s="19"/>
      <c r="C131" s="25"/>
      <c r="E131" s="7"/>
      <c r="F131" s="19"/>
      <c r="G131" s="25"/>
    </row>
    <row r="132" spans="1:7" x14ac:dyDescent="0.25">
      <c r="A132" s="7"/>
      <c r="B132" s="19"/>
      <c r="C132" s="25"/>
      <c r="E132" s="7"/>
      <c r="F132" s="19"/>
      <c r="G132" s="25"/>
    </row>
    <row r="133" spans="1:7" x14ac:dyDescent="0.25">
      <c r="A133" s="7"/>
      <c r="B133" s="19"/>
      <c r="C133" s="25"/>
      <c r="E133" s="7"/>
      <c r="F133" s="19"/>
      <c r="G133" s="25"/>
    </row>
    <row r="134" spans="1:7" x14ac:dyDescent="0.25">
      <c r="A134" s="7"/>
      <c r="B134" s="19"/>
      <c r="C134" s="25"/>
      <c r="E134" s="7"/>
      <c r="F134" s="19"/>
      <c r="G134" s="25"/>
    </row>
    <row r="135" spans="1:7" x14ac:dyDescent="0.25">
      <c r="A135" s="7"/>
      <c r="B135" s="19"/>
      <c r="C135" s="25"/>
      <c r="E135" s="7"/>
      <c r="F135" s="19"/>
      <c r="G135" s="25"/>
    </row>
  </sheetData>
  <mergeCells count="4">
    <mergeCell ref="B6:F6"/>
    <mergeCell ref="A7:C7"/>
    <mergeCell ref="B51:F51"/>
    <mergeCell ref="B96:F96"/>
  </mergeCells>
  <pageMargins left="0.25" right="0.25" top="0.75" bottom="0.75" header="0.3" footer="0.3"/>
  <pageSetup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G135"/>
  <sheetViews>
    <sheetView showGridLines="0" view="pageLayout" zoomScaleNormal="100" workbookViewId="0">
      <selection activeCell="E45" sqref="E13:G45"/>
    </sheetView>
  </sheetViews>
  <sheetFormatPr baseColWidth="10" defaultRowHeight="15" x14ac:dyDescent="0.25"/>
  <cols>
    <col min="1" max="1" width="9" style="1" bestFit="1" customWidth="1"/>
    <col min="2" max="2" width="23.5703125" style="21" customWidth="1"/>
    <col min="3" max="3" width="10.42578125" style="1" bestFit="1" customWidth="1"/>
    <col min="4" max="4" width="10.85546875" style="1" customWidth="1"/>
    <col min="5" max="5" width="8.7109375" style="1" bestFit="1" customWidth="1"/>
    <col min="6" max="6" width="26.42578125" style="21" customWidth="1"/>
    <col min="7" max="7" width="10.7109375" style="1" bestFit="1" customWidth="1"/>
    <col min="8" max="16384" width="11.42578125" style="1"/>
  </cols>
  <sheetData>
    <row r="1" spans="1:7" ht="15" customHeight="1" x14ac:dyDescent="0.25">
      <c r="E1" s="5"/>
      <c r="F1" s="23"/>
      <c r="G1" s="5"/>
    </row>
    <row r="2" spans="1:7" x14ac:dyDescent="0.25">
      <c r="E2" s="5"/>
      <c r="F2" s="23"/>
      <c r="G2" s="5"/>
    </row>
    <row r="3" spans="1:7" ht="15.75" customHeight="1" x14ac:dyDescent="0.25"/>
    <row r="6" spans="1:7" ht="18.75" x14ac:dyDescent="0.3">
      <c r="B6" s="262" t="s">
        <v>320</v>
      </c>
      <c r="C6" s="262"/>
      <c r="D6" s="262"/>
      <c r="E6" s="262"/>
      <c r="F6" s="262"/>
      <c r="G6" s="18"/>
    </row>
    <row r="7" spans="1:7" x14ac:dyDescent="0.25">
      <c r="A7" s="263" t="s">
        <v>318</v>
      </c>
      <c r="B7" s="263"/>
      <c r="C7" s="263"/>
      <c r="G7" s="6"/>
    </row>
    <row r="8" spans="1:7" ht="37.5" customHeight="1" x14ac:dyDescent="0.25">
      <c r="A8" s="20" t="s">
        <v>80</v>
      </c>
      <c r="B8" s="22" t="s">
        <v>0</v>
      </c>
      <c r="C8" s="20" t="s">
        <v>77</v>
      </c>
      <c r="E8" s="20" t="s">
        <v>80</v>
      </c>
      <c r="F8" s="22" t="s">
        <v>0</v>
      </c>
      <c r="G8" s="20" t="s">
        <v>77</v>
      </c>
    </row>
    <row r="9" spans="1:7" x14ac:dyDescent="0.25">
      <c r="A9" s="7" t="s">
        <v>113</v>
      </c>
      <c r="B9" s="19" t="s">
        <v>88</v>
      </c>
      <c r="C9" s="25">
        <v>2</v>
      </c>
      <c r="E9" s="7" t="s">
        <v>113</v>
      </c>
      <c r="F9" s="19" t="s">
        <v>168</v>
      </c>
      <c r="G9" s="25">
        <v>0</v>
      </c>
    </row>
    <row r="10" spans="1:7" x14ac:dyDescent="0.25">
      <c r="A10" s="7" t="s">
        <v>113</v>
      </c>
      <c r="B10" s="19" t="s">
        <v>89</v>
      </c>
      <c r="C10" s="25">
        <v>150</v>
      </c>
      <c r="E10" s="7" t="s">
        <v>113</v>
      </c>
      <c r="F10" s="19" t="s">
        <v>169</v>
      </c>
      <c r="G10" s="25">
        <v>3</v>
      </c>
    </row>
    <row r="11" spans="1:7" x14ac:dyDescent="0.25">
      <c r="A11" s="7" t="s">
        <v>113</v>
      </c>
      <c r="B11" s="19" t="s">
        <v>283</v>
      </c>
      <c r="C11" s="25">
        <v>0</v>
      </c>
      <c r="E11" s="7" t="s">
        <v>113</v>
      </c>
      <c r="F11" s="19" t="s">
        <v>170</v>
      </c>
      <c r="G11" s="25">
        <v>116</v>
      </c>
    </row>
    <row r="12" spans="1:7" x14ac:dyDescent="0.25">
      <c r="A12" s="7" t="s">
        <v>113</v>
      </c>
      <c r="B12" s="19" t="s">
        <v>284</v>
      </c>
      <c r="C12" s="26">
        <v>0</v>
      </c>
      <c r="E12" s="7" t="s">
        <v>113</v>
      </c>
      <c r="F12" s="19" t="s">
        <v>171</v>
      </c>
      <c r="G12" s="25">
        <v>10</v>
      </c>
    </row>
    <row r="13" spans="1:7" x14ac:dyDescent="0.25">
      <c r="A13" s="7" t="s">
        <v>113</v>
      </c>
      <c r="B13" s="19" t="s">
        <v>285</v>
      </c>
      <c r="C13" s="26">
        <v>0</v>
      </c>
      <c r="E13" s="7" t="s">
        <v>113</v>
      </c>
      <c r="F13" s="19" t="s">
        <v>172</v>
      </c>
      <c r="G13" s="25">
        <v>3</v>
      </c>
    </row>
    <row r="14" spans="1:7" x14ac:dyDescent="0.25">
      <c r="A14" s="7" t="s">
        <v>114</v>
      </c>
      <c r="B14" s="19" t="s">
        <v>96</v>
      </c>
      <c r="C14" s="25">
        <v>4</v>
      </c>
      <c r="E14" s="7" t="s">
        <v>113</v>
      </c>
      <c r="F14" s="19" t="s">
        <v>303</v>
      </c>
      <c r="G14" s="25">
        <v>3</v>
      </c>
    </row>
    <row r="15" spans="1:7" x14ac:dyDescent="0.25">
      <c r="A15" s="7" t="s">
        <v>114</v>
      </c>
      <c r="B15" s="19" t="s">
        <v>97</v>
      </c>
      <c r="C15" s="25">
        <v>0</v>
      </c>
      <c r="E15" s="7" t="s">
        <v>113</v>
      </c>
      <c r="F15" s="19" t="s">
        <v>179</v>
      </c>
      <c r="G15" s="25">
        <v>60</v>
      </c>
    </row>
    <row r="16" spans="1:7" x14ac:dyDescent="0.25">
      <c r="A16" s="7" t="s">
        <v>115</v>
      </c>
      <c r="B16" s="19" t="s">
        <v>132</v>
      </c>
      <c r="C16" s="25">
        <v>33</v>
      </c>
      <c r="D16" s="28"/>
      <c r="E16" s="7" t="s">
        <v>113</v>
      </c>
      <c r="F16" s="19" t="s">
        <v>180</v>
      </c>
      <c r="G16" s="25">
        <v>7</v>
      </c>
    </row>
    <row r="17" spans="1:7" x14ac:dyDescent="0.25">
      <c r="A17" s="7" t="s">
        <v>113</v>
      </c>
      <c r="B17" s="19" t="s">
        <v>136</v>
      </c>
      <c r="C17" s="25">
        <v>0</v>
      </c>
      <c r="D17" s="28"/>
      <c r="E17" s="7" t="s">
        <v>113</v>
      </c>
      <c r="F17" s="19" t="s">
        <v>181</v>
      </c>
      <c r="G17" s="25">
        <v>8</v>
      </c>
    </row>
    <row r="18" spans="1:7" x14ac:dyDescent="0.25">
      <c r="A18" s="7" t="s">
        <v>113</v>
      </c>
      <c r="B18" s="19" t="s">
        <v>140</v>
      </c>
      <c r="C18" s="25">
        <v>10</v>
      </c>
      <c r="E18" s="7" t="s">
        <v>113</v>
      </c>
      <c r="F18" s="19" t="s">
        <v>267</v>
      </c>
      <c r="G18" s="25">
        <v>0</v>
      </c>
    </row>
    <row r="19" spans="1:7" x14ac:dyDescent="0.25">
      <c r="A19" s="7" t="s">
        <v>113</v>
      </c>
      <c r="B19" s="19" t="s">
        <v>141</v>
      </c>
      <c r="C19" s="25">
        <v>0</v>
      </c>
      <c r="E19" s="7"/>
      <c r="F19" s="19"/>
      <c r="G19" s="25"/>
    </row>
    <row r="20" spans="1:7" x14ac:dyDescent="0.25">
      <c r="A20" s="7" t="s">
        <v>113</v>
      </c>
      <c r="B20" s="19" t="s">
        <v>142</v>
      </c>
      <c r="C20" s="25">
        <v>20</v>
      </c>
      <c r="E20" s="7"/>
      <c r="F20" s="19"/>
      <c r="G20" s="25"/>
    </row>
    <row r="21" spans="1:7" x14ac:dyDescent="0.25">
      <c r="A21" s="7" t="s">
        <v>113</v>
      </c>
      <c r="B21" s="19" t="s">
        <v>143</v>
      </c>
      <c r="C21" s="24">
        <v>1</v>
      </c>
      <c r="E21" s="7"/>
      <c r="F21" s="19"/>
      <c r="G21" s="25"/>
    </row>
    <row r="22" spans="1:7" x14ac:dyDescent="0.25">
      <c r="A22" s="7" t="s">
        <v>113</v>
      </c>
      <c r="B22" s="19" t="s">
        <v>144</v>
      </c>
      <c r="C22" s="25">
        <v>20</v>
      </c>
      <c r="E22" s="7"/>
      <c r="F22" s="19"/>
      <c r="G22" s="25"/>
    </row>
    <row r="23" spans="1:7" x14ac:dyDescent="0.25">
      <c r="A23" s="7" t="s">
        <v>113</v>
      </c>
      <c r="B23" s="19" t="s">
        <v>145</v>
      </c>
      <c r="C23" s="25">
        <v>50</v>
      </c>
      <c r="E23" s="7"/>
      <c r="F23" s="19"/>
      <c r="G23" s="25"/>
    </row>
    <row r="24" spans="1:7" x14ac:dyDescent="0.25">
      <c r="A24" s="7" t="s">
        <v>113</v>
      </c>
      <c r="B24" s="19" t="s">
        <v>146</v>
      </c>
      <c r="C24" s="25">
        <v>32</v>
      </c>
      <c r="E24" s="7"/>
      <c r="F24" s="19"/>
      <c r="G24" s="25"/>
    </row>
    <row r="25" spans="1:7" x14ac:dyDescent="0.25">
      <c r="A25" s="7" t="s">
        <v>113</v>
      </c>
      <c r="B25" s="19" t="s">
        <v>147</v>
      </c>
      <c r="C25" s="25">
        <v>1841</v>
      </c>
      <c r="E25" s="7"/>
      <c r="F25" s="19"/>
      <c r="G25" s="25"/>
    </row>
    <row r="26" spans="1:7" x14ac:dyDescent="0.25">
      <c r="A26" s="7" t="s">
        <v>113</v>
      </c>
      <c r="B26" s="19" t="s">
        <v>148</v>
      </c>
      <c r="C26" s="25">
        <v>55</v>
      </c>
      <c r="E26" s="7"/>
      <c r="F26" s="19"/>
      <c r="G26" s="25"/>
    </row>
    <row r="27" spans="1:7" x14ac:dyDescent="0.25">
      <c r="A27" s="7" t="s">
        <v>150</v>
      </c>
      <c r="B27" s="19" t="s">
        <v>149</v>
      </c>
      <c r="C27" s="25">
        <v>3</v>
      </c>
      <c r="E27" s="7"/>
      <c r="F27" s="19"/>
      <c r="G27" s="25"/>
    </row>
    <row r="28" spans="1:7" x14ac:dyDescent="0.25">
      <c r="A28" s="7" t="s">
        <v>150</v>
      </c>
      <c r="B28" s="19" t="s">
        <v>151</v>
      </c>
      <c r="C28" s="25">
        <v>12</v>
      </c>
      <c r="E28" s="7"/>
      <c r="F28" s="19"/>
      <c r="G28" s="25"/>
    </row>
    <row r="29" spans="1:7" x14ac:dyDescent="0.25">
      <c r="A29" s="7" t="s">
        <v>113</v>
      </c>
      <c r="B29" s="115" t="s">
        <v>152</v>
      </c>
      <c r="C29" s="25">
        <v>4</v>
      </c>
      <c r="E29" s="7"/>
      <c r="F29" s="19"/>
      <c r="G29" s="24"/>
    </row>
    <row r="30" spans="1:7" x14ac:dyDescent="0.25">
      <c r="A30" s="7" t="s">
        <v>150</v>
      </c>
      <c r="B30" s="19" t="s">
        <v>153</v>
      </c>
      <c r="C30" s="25">
        <v>4</v>
      </c>
      <c r="E30" s="7"/>
      <c r="F30" s="19"/>
      <c r="G30" s="25"/>
    </row>
    <row r="31" spans="1:7" x14ac:dyDescent="0.25">
      <c r="A31" s="7" t="s">
        <v>150</v>
      </c>
      <c r="B31" s="19" t="s">
        <v>154</v>
      </c>
      <c r="C31" s="25">
        <v>11</v>
      </c>
      <c r="E31" s="7"/>
      <c r="F31" s="19"/>
      <c r="G31" s="25"/>
    </row>
    <row r="32" spans="1:7" x14ac:dyDescent="0.25">
      <c r="A32" s="7" t="s">
        <v>150</v>
      </c>
      <c r="B32" s="19" t="s">
        <v>155</v>
      </c>
      <c r="C32" s="25">
        <v>4</v>
      </c>
      <c r="E32" s="7"/>
      <c r="F32" s="19"/>
      <c r="G32" s="25"/>
    </row>
    <row r="33" spans="1:7" x14ac:dyDescent="0.25">
      <c r="A33" s="7" t="s">
        <v>150</v>
      </c>
      <c r="B33" s="19" t="s">
        <v>156</v>
      </c>
      <c r="C33" s="25">
        <v>0</v>
      </c>
      <c r="E33" s="7"/>
      <c r="F33" s="19"/>
      <c r="G33" s="25"/>
    </row>
    <row r="34" spans="1:7" x14ac:dyDescent="0.25">
      <c r="A34" s="7" t="s">
        <v>113</v>
      </c>
      <c r="B34" s="19" t="s">
        <v>157</v>
      </c>
      <c r="C34" s="25">
        <v>0</v>
      </c>
      <c r="E34" s="7"/>
      <c r="F34" s="19"/>
      <c r="G34" s="25"/>
    </row>
    <row r="35" spans="1:7" x14ac:dyDescent="0.25">
      <c r="A35" s="7" t="s">
        <v>113</v>
      </c>
      <c r="B35" s="19" t="s">
        <v>158</v>
      </c>
      <c r="C35" s="25">
        <v>0</v>
      </c>
      <c r="E35" s="7"/>
      <c r="F35" s="19"/>
      <c r="G35" s="25"/>
    </row>
    <row r="36" spans="1:7" x14ac:dyDescent="0.25">
      <c r="A36" s="7" t="s">
        <v>113</v>
      </c>
      <c r="B36" s="19" t="s">
        <v>159</v>
      </c>
      <c r="C36" s="25">
        <v>0</v>
      </c>
      <c r="E36" s="7"/>
      <c r="F36" s="19"/>
      <c r="G36" s="25"/>
    </row>
    <row r="37" spans="1:7" x14ac:dyDescent="0.25">
      <c r="A37" s="7" t="s">
        <v>113</v>
      </c>
      <c r="B37" s="19" t="s">
        <v>288</v>
      </c>
      <c r="C37" s="25">
        <v>10</v>
      </c>
      <c r="E37" s="7"/>
      <c r="F37" s="19"/>
      <c r="G37" s="25"/>
    </row>
    <row r="38" spans="1:7" x14ac:dyDescent="0.25">
      <c r="A38" s="7" t="s">
        <v>113</v>
      </c>
      <c r="B38" s="19" t="s">
        <v>160</v>
      </c>
      <c r="C38" s="25">
        <v>2312</v>
      </c>
      <c r="E38" s="7"/>
      <c r="F38" s="19"/>
      <c r="G38" s="25"/>
    </row>
    <row r="39" spans="1:7" x14ac:dyDescent="0.25">
      <c r="A39" s="7" t="s">
        <v>113</v>
      </c>
      <c r="B39" s="19" t="s">
        <v>161</v>
      </c>
      <c r="C39" s="25">
        <v>4</v>
      </c>
      <c r="E39" s="7"/>
      <c r="F39" s="19"/>
      <c r="G39" s="25"/>
    </row>
    <row r="40" spans="1:7" x14ac:dyDescent="0.25">
      <c r="A40" s="7" t="s">
        <v>113</v>
      </c>
      <c r="B40" s="19" t="s">
        <v>162</v>
      </c>
      <c r="C40" s="26">
        <v>0</v>
      </c>
      <c r="E40" s="7"/>
      <c r="F40" s="19"/>
      <c r="G40" s="25"/>
    </row>
    <row r="41" spans="1:7" x14ac:dyDescent="0.25">
      <c r="A41" s="7" t="s">
        <v>113</v>
      </c>
      <c r="B41" s="19" t="s">
        <v>163</v>
      </c>
      <c r="C41" s="26">
        <v>82</v>
      </c>
      <c r="E41" s="7"/>
      <c r="F41" s="19"/>
      <c r="G41" s="25"/>
    </row>
    <row r="42" spans="1:7" x14ac:dyDescent="0.25">
      <c r="A42" s="7" t="s">
        <v>113</v>
      </c>
      <c r="B42" s="19" t="s">
        <v>164</v>
      </c>
      <c r="C42" s="25">
        <v>0</v>
      </c>
      <c r="E42" s="7"/>
      <c r="F42" s="19"/>
      <c r="G42" s="25"/>
    </row>
    <row r="43" spans="1:7" x14ac:dyDescent="0.25">
      <c r="A43" s="7" t="s">
        <v>113</v>
      </c>
      <c r="B43" s="19" t="s">
        <v>165</v>
      </c>
      <c r="C43" s="25">
        <v>0</v>
      </c>
      <c r="E43" s="7"/>
      <c r="F43" s="19"/>
      <c r="G43" s="25"/>
    </row>
    <row r="44" spans="1:7" x14ac:dyDescent="0.25">
      <c r="A44" s="7" t="s">
        <v>113</v>
      </c>
      <c r="B44" s="19" t="s">
        <v>166</v>
      </c>
      <c r="C44" s="25">
        <v>0</v>
      </c>
      <c r="E44" s="7"/>
      <c r="F44" s="19"/>
      <c r="G44" s="25"/>
    </row>
    <row r="45" spans="1:7" x14ac:dyDescent="0.25">
      <c r="A45" s="7" t="s">
        <v>113</v>
      </c>
      <c r="B45" s="19" t="s">
        <v>167</v>
      </c>
      <c r="C45" s="25">
        <v>38</v>
      </c>
      <c r="E45" s="7"/>
      <c r="F45" s="19"/>
      <c r="G45" s="25"/>
    </row>
    <row r="46" spans="1:7" x14ac:dyDescent="0.25">
      <c r="E46" s="5"/>
      <c r="F46" s="23"/>
      <c r="G46" s="5"/>
    </row>
    <row r="47" spans="1:7" x14ac:dyDescent="0.25">
      <c r="E47" s="5"/>
      <c r="F47" s="23"/>
      <c r="G47" s="5"/>
    </row>
    <row r="51" spans="1:7" ht="18.75" x14ac:dyDescent="0.3">
      <c r="B51" s="262" t="s">
        <v>320</v>
      </c>
      <c r="C51" s="262"/>
      <c r="D51" s="262"/>
      <c r="E51" s="262"/>
      <c r="F51" s="262"/>
      <c r="G51" s="18"/>
    </row>
    <row r="52" spans="1:7" x14ac:dyDescent="0.25">
      <c r="G52" s="6"/>
    </row>
    <row r="53" spans="1:7" x14ac:dyDescent="0.25">
      <c r="A53" s="20" t="s">
        <v>80</v>
      </c>
      <c r="B53" s="22" t="s">
        <v>0</v>
      </c>
      <c r="C53" s="20" t="s">
        <v>77</v>
      </c>
      <c r="E53" s="20" t="s">
        <v>80</v>
      </c>
      <c r="F53" s="22" t="s">
        <v>0</v>
      </c>
      <c r="G53" s="20" t="s">
        <v>77</v>
      </c>
    </row>
    <row r="54" spans="1:7" x14ac:dyDescent="0.25">
      <c r="A54" s="7"/>
      <c r="B54" s="19"/>
      <c r="C54" s="25"/>
      <c r="E54" s="7"/>
      <c r="F54" s="19"/>
      <c r="G54" s="25"/>
    </row>
    <row r="55" spans="1:7" x14ac:dyDescent="0.25">
      <c r="A55" s="7"/>
      <c r="B55" s="19"/>
      <c r="C55" s="25"/>
      <c r="E55" s="7"/>
      <c r="F55" s="19"/>
      <c r="G55" s="25"/>
    </row>
    <row r="56" spans="1:7" x14ac:dyDescent="0.25">
      <c r="A56" s="7"/>
      <c r="B56" s="19"/>
      <c r="C56" s="25"/>
      <c r="E56" s="7"/>
      <c r="F56" s="19"/>
      <c r="G56" s="25"/>
    </row>
    <row r="57" spans="1:7" x14ac:dyDescent="0.25">
      <c r="A57" s="7"/>
      <c r="B57" s="19"/>
      <c r="C57" s="26"/>
      <c r="E57" s="7"/>
      <c r="F57" s="19"/>
      <c r="G57" s="25"/>
    </row>
    <row r="58" spans="1:7" x14ac:dyDescent="0.25">
      <c r="A58" s="7"/>
      <c r="B58" s="19"/>
      <c r="C58" s="26"/>
      <c r="E58" s="7"/>
      <c r="F58" s="19"/>
      <c r="G58" s="25"/>
    </row>
    <row r="59" spans="1:7" x14ac:dyDescent="0.25">
      <c r="A59" s="7"/>
      <c r="B59" s="19"/>
      <c r="C59" s="25"/>
      <c r="E59" s="7"/>
      <c r="F59" s="19"/>
      <c r="G59" s="25"/>
    </row>
    <row r="60" spans="1:7" x14ac:dyDescent="0.25">
      <c r="A60" s="7"/>
      <c r="B60" s="19"/>
      <c r="C60" s="25"/>
      <c r="E60" s="7"/>
      <c r="F60" s="19"/>
      <c r="G60" s="25"/>
    </row>
    <row r="61" spans="1:7" x14ac:dyDescent="0.25">
      <c r="A61" s="7"/>
      <c r="B61" s="19"/>
      <c r="C61" s="25"/>
      <c r="E61" s="7"/>
      <c r="F61" s="19"/>
      <c r="G61" s="25"/>
    </row>
    <row r="62" spans="1:7" x14ac:dyDescent="0.25">
      <c r="A62" s="7"/>
      <c r="B62" s="19"/>
      <c r="C62" s="25"/>
      <c r="E62" s="7"/>
      <c r="F62" s="19"/>
      <c r="G62" s="25"/>
    </row>
    <row r="63" spans="1:7" x14ac:dyDescent="0.25">
      <c r="A63" s="7"/>
      <c r="B63" s="19"/>
      <c r="C63" s="25"/>
      <c r="E63" s="7"/>
      <c r="F63" s="19"/>
      <c r="G63" s="25"/>
    </row>
    <row r="64" spans="1:7" x14ac:dyDescent="0.25">
      <c r="A64" s="7"/>
      <c r="B64" s="19"/>
      <c r="C64" s="25"/>
      <c r="E64" s="7"/>
      <c r="F64" s="19"/>
      <c r="G64" s="25"/>
    </row>
    <row r="65" spans="1:7" x14ac:dyDescent="0.25">
      <c r="A65" s="7"/>
      <c r="B65" s="19"/>
      <c r="C65" s="25"/>
      <c r="E65" s="7"/>
      <c r="F65" s="19"/>
      <c r="G65" s="25"/>
    </row>
    <row r="66" spans="1:7" x14ac:dyDescent="0.25">
      <c r="A66" s="7"/>
      <c r="B66" s="19"/>
      <c r="C66" s="25"/>
      <c r="E66" s="7"/>
      <c r="F66" s="19"/>
      <c r="G66" s="25"/>
    </row>
    <row r="67" spans="1:7" x14ac:dyDescent="0.25">
      <c r="A67" s="7"/>
      <c r="B67" s="19"/>
      <c r="C67" s="25"/>
      <c r="E67" s="7"/>
      <c r="F67" s="19"/>
      <c r="G67" s="25"/>
    </row>
    <row r="68" spans="1:7" x14ac:dyDescent="0.25">
      <c r="A68" s="7"/>
      <c r="B68" s="19"/>
      <c r="C68" s="25"/>
      <c r="E68" s="7"/>
      <c r="F68" s="19"/>
      <c r="G68" s="25"/>
    </row>
    <row r="69" spans="1:7" x14ac:dyDescent="0.25">
      <c r="A69" s="7"/>
      <c r="B69" s="19"/>
      <c r="C69" s="25"/>
      <c r="E69" s="7"/>
      <c r="F69" s="19"/>
      <c r="G69" s="25"/>
    </row>
    <row r="70" spans="1:7" x14ac:dyDescent="0.25">
      <c r="A70" s="7"/>
      <c r="B70" s="19"/>
      <c r="C70" s="25"/>
      <c r="E70" s="7"/>
      <c r="F70" s="19"/>
      <c r="G70" s="25"/>
    </row>
    <row r="71" spans="1:7" x14ac:dyDescent="0.25">
      <c r="A71" s="7"/>
      <c r="B71" s="19"/>
      <c r="C71" s="25"/>
      <c r="E71" s="7"/>
      <c r="F71" s="19"/>
      <c r="G71" s="25"/>
    </row>
    <row r="72" spans="1:7" x14ac:dyDescent="0.25">
      <c r="A72" s="7"/>
      <c r="B72" s="19"/>
      <c r="C72" s="25"/>
      <c r="E72" s="7"/>
      <c r="F72" s="19"/>
      <c r="G72" s="25"/>
    </row>
    <row r="73" spans="1:7" x14ac:dyDescent="0.25">
      <c r="A73" s="7"/>
      <c r="B73" s="19"/>
      <c r="C73" s="25"/>
      <c r="E73" s="7"/>
      <c r="F73" s="19"/>
      <c r="G73" s="25"/>
    </row>
    <row r="74" spans="1:7" x14ac:dyDescent="0.25">
      <c r="A74" s="7"/>
      <c r="B74" s="19"/>
      <c r="C74" s="24"/>
      <c r="E74" s="7"/>
      <c r="F74" s="19"/>
      <c r="G74" s="25"/>
    </row>
    <row r="75" spans="1:7" x14ac:dyDescent="0.25">
      <c r="A75" s="7"/>
      <c r="B75" s="19"/>
      <c r="C75" s="25"/>
      <c r="E75" s="7"/>
      <c r="F75" s="19"/>
      <c r="G75" s="25"/>
    </row>
    <row r="76" spans="1:7" x14ac:dyDescent="0.25">
      <c r="A76" s="7"/>
      <c r="B76" s="19"/>
      <c r="C76" s="24"/>
      <c r="E76" s="7"/>
      <c r="F76" s="19"/>
      <c r="G76" s="25"/>
    </row>
    <row r="77" spans="1:7" x14ac:dyDescent="0.25">
      <c r="A77" s="7"/>
      <c r="B77" s="19"/>
      <c r="C77" s="25"/>
      <c r="E77" s="7"/>
      <c r="F77" s="19"/>
      <c r="G77" s="25"/>
    </row>
    <row r="78" spans="1:7" x14ac:dyDescent="0.25">
      <c r="A78" s="7"/>
      <c r="B78" s="19"/>
      <c r="C78" s="25"/>
      <c r="E78" s="7"/>
      <c r="F78" s="19"/>
      <c r="G78" s="25"/>
    </row>
    <row r="79" spans="1:7" x14ac:dyDescent="0.25">
      <c r="A79" s="7"/>
      <c r="B79" s="19"/>
      <c r="C79" s="24"/>
      <c r="E79" s="7"/>
      <c r="F79" s="19"/>
      <c r="G79" s="25"/>
    </row>
    <row r="80" spans="1:7" x14ac:dyDescent="0.25">
      <c r="A80" s="7"/>
      <c r="B80" s="19"/>
      <c r="C80" s="25"/>
      <c r="E80" s="7"/>
      <c r="F80" s="19"/>
      <c r="G80" s="25"/>
    </row>
    <row r="81" spans="1:7" x14ac:dyDescent="0.25">
      <c r="A81" s="7"/>
      <c r="B81" s="19"/>
      <c r="C81" s="25"/>
      <c r="E81" s="7"/>
      <c r="F81" s="19"/>
      <c r="G81" s="25"/>
    </row>
    <row r="82" spans="1:7" x14ac:dyDescent="0.25">
      <c r="A82" s="7"/>
      <c r="B82" s="19"/>
      <c r="C82" s="25"/>
      <c r="E82" s="7"/>
      <c r="F82" s="19"/>
      <c r="G82" s="25"/>
    </row>
    <row r="83" spans="1:7" x14ac:dyDescent="0.25">
      <c r="A83" s="7"/>
      <c r="B83" s="19"/>
      <c r="C83" s="25"/>
      <c r="E83" s="7"/>
      <c r="F83" s="19"/>
      <c r="G83" s="25"/>
    </row>
    <row r="84" spans="1:7" x14ac:dyDescent="0.25">
      <c r="A84" s="7"/>
      <c r="B84" s="19"/>
      <c r="C84" s="25"/>
      <c r="D84" s="27"/>
      <c r="E84" s="7"/>
      <c r="F84" s="19"/>
      <c r="G84" s="25"/>
    </row>
    <row r="85" spans="1:7" x14ac:dyDescent="0.25">
      <c r="A85" s="7"/>
      <c r="B85" s="19"/>
      <c r="C85" s="25"/>
      <c r="E85" s="7"/>
      <c r="F85" s="19"/>
      <c r="G85" s="25"/>
    </row>
    <row r="86" spans="1:7" x14ac:dyDescent="0.25">
      <c r="A86" s="7"/>
      <c r="B86" s="19"/>
      <c r="C86" s="25"/>
      <c r="E86" s="7"/>
      <c r="F86" s="19"/>
      <c r="G86" s="25"/>
    </row>
    <row r="87" spans="1:7" x14ac:dyDescent="0.25">
      <c r="A87" s="7"/>
      <c r="B87" s="19"/>
      <c r="C87" s="25"/>
      <c r="E87" s="7"/>
      <c r="F87" s="19"/>
      <c r="G87" s="25"/>
    </row>
    <row r="88" spans="1:7" x14ac:dyDescent="0.25">
      <c r="A88" s="7"/>
      <c r="B88" s="19"/>
      <c r="C88" s="25"/>
      <c r="E88" s="7"/>
      <c r="F88" s="19"/>
      <c r="G88" s="25"/>
    </row>
    <row r="89" spans="1:7" x14ac:dyDescent="0.25">
      <c r="A89" s="7"/>
      <c r="B89" s="19"/>
      <c r="C89" s="25"/>
      <c r="E89" s="7"/>
      <c r="F89" s="19"/>
      <c r="G89" s="25"/>
    </row>
    <row r="90" spans="1:7" x14ac:dyDescent="0.25">
      <c r="A90" s="7"/>
      <c r="B90" s="19"/>
      <c r="C90" s="25"/>
      <c r="E90" s="7"/>
      <c r="F90" s="19"/>
      <c r="G90" s="25"/>
    </row>
    <row r="96" spans="1:7" ht="18.75" x14ac:dyDescent="0.3">
      <c r="B96" s="262" t="s">
        <v>263</v>
      </c>
      <c r="C96" s="262"/>
      <c r="D96" s="262"/>
      <c r="E96" s="262"/>
      <c r="F96" s="262"/>
      <c r="G96" s="18"/>
    </row>
    <row r="97" spans="1:7" x14ac:dyDescent="0.25">
      <c r="G97" s="6"/>
    </row>
    <row r="98" spans="1:7" x14ac:dyDescent="0.25">
      <c r="A98" s="20" t="s">
        <v>80</v>
      </c>
      <c r="B98" s="22" t="s">
        <v>0</v>
      </c>
      <c r="C98" s="20" t="s">
        <v>77</v>
      </c>
      <c r="E98" s="20" t="s">
        <v>80</v>
      </c>
      <c r="F98" s="22" t="s">
        <v>0</v>
      </c>
      <c r="G98" s="20" t="s">
        <v>77</v>
      </c>
    </row>
    <row r="99" spans="1:7" x14ac:dyDescent="0.25">
      <c r="A99" s="7"/>
      <c r="B99" s="19"/>
      <c r="C99" s="25"/>
      <c r="E99" s="7"/>
      <c r="F99" s="19"/>
      <c r="G99" s="25"/>
    </row>
    <row r="100" spans="1:7" x14ac:dyDescent="0.25">
      <c r="A100" s="7"/>
      <c r="B100" s="19"/>
      <c r="C100" s="25"/>
      <c r="E100" s="7"/>
      <c r="F100" s="19"/>
      <c r="G100" s="25"/>
    </row>
    <row r="101" spans="1:7" x14ac:dyDescent="0.25">
      <c r="A101" s="7"/>
      <c r="B101" s="19"/>
      <c r="C101" s="25"/>
      <c r="E101" s="7"/>
      <c r="F101" s="19"/>
      <c r="G101" s="25"/>
    </row>
    <row r="102" spans="1:7" x14ac:dyDescent="0.25">
      <c r="A102" s="7"/>
      <c r="B102" s="19"/>
      <c r="C102" s="26"/>
      <c r="E102" s="7"/>
      <c r="F102" s="19"/>
      <c r="G102" s="26"/>
    </row>
    <row r="103" spans="1:7" x14ac:dyDescent="0.25">
      <c r="A103" s="7"/>
      <c r="B103" s="19"/>
      <c r="C103" s="26"/>
      <c r="E103" s="7"/>
      <c r="F103" s="19"/>
      <c r="G103" s="26"/>
    </row>
    <row r="104" spans="1:7" x14ac:dyDescent="0.25">
      <c r="A104" s="7"/>
      <c r="B104" s="19"/>
      <c r="C104" s="25"/>
      <c r="E104" s="7"/>
      <c r="F104" s="19"/>
      <c r="G104" s="25"/>
    </row>
    <row r="105" spans="1:7" x14ac:dyDescent="0.25">
      <c r="A105" s="7"/>
      <c r="B105" s="19"/>
      <c r="C105" s="25"/>
      <c r="E105" s="7"/>
      <c r="F105" s="19"/>
      <c r="G105" s="25"/>
    </row>
    <row r="106" spans="1:7" x14ac:dyDescent="0.25">
      <c r="A106" s="7"/>
      <c r="B106" s="19"/>
      <c r="C106" s="25"/>
      <c r="E106" s="7"/>
      <c r="F106" s="19"/>
      <c r="G106" s="25"/>
    </row>
    <row r="107" spans="1:7" x14ac:dyDescent="0.25">
      <c r="A107" s="7"/>
      <c r="B107" s="19"/>
      <c r="C107" s="25"/>
      <c r="E107" s="7"/>
      <c r="F107" s="19"/>
      <c r="G107" s="25"/>
    </row>
    <row r="108" spans="1:7" x14ac:dyDescent="0.25">
      <c r="A108" s="7"/>
      <c r="B108" s="19"/>
      <c r="C108" s="25"/>
      <c r="E108" s="7"/>
      <c r="F108" s="19"/>
      <c r="G108" s="25"/>
    </row>
    <row r="109" spans="1:7" x14ac:dyDescent="0.25">
      <c r="A109" s="7"/>
      <c r="B109" s="19"/>
      <c r="C109" s="24"/>
      <c r="E109" s="7"/>
      <c r="F109" s="19"/>
      <c r="G109" s="25"/>
    </row>
    <row r="110" spans="1:7" x14ac:dyDescent="0.25">
      <c r="A110" s="7"/>
      <c r="B110" s="19"/>
      <c r="C110" s="25"/>
      <c r="E110" s="7"/>
      <c r="F110" s="19"/>
      <c r="G110" s="25"/>
    </row>
    <row r="111" spans="1:7" x14ac:dyDescent="0.25">
      <c r="A111" s="7"/>
      <c r="B111" s="19"/>
      <c r="C111" s="25"/>
      <c r="E111" s="7"/>
      <c r="F111" s="19"/>
      <c r="G111" s="25"/>
    </row>
    <row r="112" spans="1:7" x14ac:dyDescent="0.25">
      <c r="A112" s="7"/>
      <c r="B112" s="19"/>
      <c r="C112" s="25"/>
      <c r="E112" s="7"/>
      <c r="F112" s="19"/>
      <c r="G112" s="25"/>
    </row>
    <row r="113" spans="1:7" x14ac:dyDescent="0.25">
      <c r="A113" s="7"/>
      <c r="B113" s="19"/>
      <c r="C113" s="25"/>
      <c r="E113" s="7"/>
      <c r="F113" s="19"/>
      <c r="G113" s="25"/>
    </row>
    <row r="114" spans="1:7" x14ac:dyDescent="0.25">
      <c r="A114" s="7"/>
      <c r="B114" s="19"/>
      <c r="C114" s="25"/>
      <c r="E114" s="7"/>
      <c r="F114" s="19"/>
      <c r="G114" s="25"/>
    </row>
    <row r="115" spans="1:7" x14ac:dyDescent="0.25">
      <c r="A115" s="7"/>
      <c r="B115" s="19"/>
      <c r="C115" s="25"/>
      <c r="E115" s="7"/>
      <c r="F115" s="19"/>
      <c r="G115" s="25"/>
    </row>
    <row r="116" spans="1:7" x14ac:dyDescent="0.25">
      <c r="A116" s="7"/>
      <c r="B116" s="19"/>
      <c r="C116" s="24"/>
      <c r="E116" s="7"/>
      <c r="F116" s="19"/>
      <c r="G116" s="25"/>
    </row>
    <row r="117" spans="1:7" x14ac:dyDescent="0.25">
      <c r="A117" s="7"/>
      <c r="B117" s="19"/>
      <c r="C117" s="25"/>
      <c r="E117" s="7"/>
      <c r="F117" s="19"/>
      <c r="G117" s="25"/>
    </row>
    <row r="118" spans="1:7" x14ac:dyDescent="0.25">
      <c r="A118" s="7"/>
      <c r="B118" s="19"/>
      <c r="C118" s="25"/>
      <c r="E118" s="7"/>
      <c r="F118" s="19"/>
      <c r="G118" s="25"/>
    </row>
    <row r="119" spans="1:7" x14ac:dyDescent="0.25">
      <c r="A119" s="7"/>
      <c r="B119" s="19"/>
      <c r="C119" s="24"/>
      <c r="E119" s="7"/>
      <c r="F119" s="19"/>
      <c r="G119" s="24"/>
    </row>
    <row r="120" spans="1:7" x14ac:dyDescent="0.25">
      <c r="A120" s="7"/>
      <c r="B120" s="19"/>
      <c r="C120" s="25"/>
      <c r="E120" s="7"/>
      <c r="F120" s="19"/>
      <c r="G120" s="25"/>
    </row>
    <row r="121" spans="1:7" x14ac:dyDescent="0.25">
      <c r="A121" s="7"/>
      <c r="B121" s="19"/>
      <c r="C121" s="25"/>
      <c r="E121" s="7"/>
      <c r="F121" s="19"/>
      <c r="G121" s="25"/>
    </row>
    <row r="122" spans="1:7" x14ac:dyDescent="0.25">
      <c r="A122" s="7"/>
      <c r="B122" s="19"/>
      <c r="C122" s="25"/>
      <c r="E122" s="7"/>
      <c r="F122" s="19"/>
      <c r="G122" s="25"/>
    </row>
    <row r="123" spans="1:7" x14ac:dyDescent="0.25">
      <c r="A123" s="7"/>
      <c r="B123" s="19"/>
      <c r="C123" s="25"/>
      <c r="E123" s="7"/>
      <c r="F123" s="19"/>
      <c r="G123" s="25"/>
    </row>
    <row r="124" spans="1:7" x14ac:dyDescent="0.25">
      <c r="A124" s="7"/>
      <c r="B124" s="19"/>
      <c r="C124" s="25"/>
      <c r="E124" s="7"/>
      <c r="F124" s="19"/>
      <c r="G124" s="25"/>
    </row>
    <row r="125" spans="1:7" x14ac:dyDescent="0.25">
      <c r="A125" s="7"/>
      <c r="B125" s="19"/>
      <c r="C125" s="25"/>
      <c r="E125" s="7"/>
      <c r="F125" s="19"/>
      <c r="G125" s="25"/>
    </row>
    <row r="126" spans="1:7" x14ac:dyDescent="0.25">
      <c r="A126" s="7"/>
      <c r="B126" s="19"/>
      <c r="C126" s="25"/>
      <c r="E126" s="7"/>
      <c r="F126" s="19"/>
      <c r="G126" s="25"/>
    </row>
    <row r="127" spans="1:7" x14ac:dyDescent="0.25">
      <c r="A127" s="7"/>
      <c r="B127" s="19"/>
      <c r="C127" s="25"/>
      <c r="E127" s="7"/>
      <c r="F127" s="19"/>
      <c r="G127" s="25"/>
    </row>
    <row r="128" spans="1:7" x14ac:dyDescent="0.25">
      <c r="A128" s="7"/>
      <c r="B128" s="19"/>
      <c r="C128" s="25"/>
      <c r="E128" s="7"/>
      <c r="F128" s="19"/>
      <c r="G128" s="25"/>
    </row>
    <row r="129" spans="1:7" x14ac:dyDescent="0.25">
      <c r="A129" s="7"/>
      <c r="B129" s="19"/>
      <c r="C129" s="25"/>
      <c r="D129" s="27"/>
      <c r="E129" s="7"/>
      <c r="F129" s="19"/>
      <c r="G129" s="25"/>
    </row>
    <row r="130" spans="1:7" x14ac:dyDescent="0.25">
      <c r="A130" s="7"/>
      <c r="B130" s="19"/>
      <c r="C130" s="25"/>
      <c r="E130" s="7"/>
      <c r="F130" s="19"/>
      <c r="G130" s="25"/>
    </row>
    <row r="131" spans="1:7" x14ac:dyDescent="0.25">
      <c r="A131" s="7"/>
      <c r="B131" s="19"/>
      <c r="C131" s="25"/>
      <c r="E131" s="7"/>
      <c r="F131" s="19"/>
      <c r="G131" s="25"/>
    </row>
    <row r="132" spans="1:7" x14ac:dyDescent="0.25">
      <c r="A132" s="7"/>
      <c r="B132" s="19"/>
      <c r="C132" s="25"/>
      <c r="E132" s="7"/>
      <c r="F132" s="19"/>
      <c r="G132" s="25"/>
    </row>
    <row r="133" spans="1:7" x14ac:dyDescent="0.25">
      <c r="A133" s="7"/>
      <c r="B133" s="19"/>
      <c r="C133" s="25"/>
      <c r="E133" s="7"/>
      <c r="F133" s="19"/>
      <c r="G133" s="25"/>
    </row>
    <row r="134" spans="1:7" x14ac:dyDescent="0.25">
      <c r="A134" s="7"/>
      <c r="B134" s="19"/>
      <c r="C134" s="25"/>
      <c r="E134" s="7"/>
      <c r="F134" s="19"/>
      <c r="G134" s="25"/>
    </row>
    <row r="135" spans="1:7" x14ac:dyDescent="0.25">
      <c r="A135" s="7"/>
      <c r="B135" s="19"/>
      <c r="C135" s="25"/>
      <c r="E135" s="7"/>
      <c r="F135" s="19"/>
      <c r="G135" s="25"/>
    </row>
  </sheetData>
  <mergeCells count="4">
    <mergeCell ref="B6:F6"/>
    <mergeCell ref="A7:C7"/>
    <mergeCell ref="B51:F51"/>
    <mergeCell ref="B96:F96"/>
  </mergeCells>
  <pageMargins left="0.25" right="0.25" top="0.75" bottom="0.75" header="0.3" footer="0.3"/>
  <pageSetup fitToWidth="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G135"/>
  <sheetViews>
    <sheetView showGridLines="0" view="pageLayout" topLeftCell="A16" zoomScaleNormal="100" workbookViewId="0">
      <selection activeCell="A99" sqref="A99:G119"/>
    </sheetView>
  </sheetViews>
  <sheetFormatPr baseColWidth="10" defaultRowHeight="15" x14ac:dyDescent="0.25"/>
  <cols>
    <col min="1" max="1" width="9" style="1" bestFit="1" customWidth="1"/>
    <col min="2" max="2" width="23.5703125" style="21" customWidth="1"/>
    <col min="3" max="3" width="10.42578125" style="1" bestFit="1" customWidth="1"/>
    <col min="4" max="4" width="10.85546875" style="1" customWidth="1"/>
    <col min="5" max="5" width="8.7109375" style="1" bestFit="1" customWidth="1"/>
    <col min="6" max="6" width="26.42578125" style="21" customWidth="1"/>
    <col min="7" max="7" width="10.7109375" style="1" bestFit="1" customWidth="1"/>
    <col min="8" max="16384" width="11.42578125" style="1"/>
  </cols>
  <sheetData>
    <row r="1" spans="1:7" ht="15" customHeight="1" x14ac:dyDescent="0.25">
      <c r="E1" s="5"/>
      <c r="F1" s="23"/>
      <c r="G1" s="5"/>
    </row>
    <row r="2" spans="1:7" x14ac:dyDescent="0.25">
      <c r="E2" s="5"/>
      <c r="F2" s="23"/>
      <c r="G2" s="5"/>
    </row>
    <row r="3" spans="1:7" ht="15.75" customHeight="1" x14ac:dyDescent="0.25"/>
    <row r="6" spans="1:7" ht="18.75" x14ac:dyDescent="0.3">
      <c r="B6" s="262" t="s">
        <v>321</v>
      </c>
      <c r="C6" s="262"/>
      <c r="D6" s="262"/>
      <c r="E6" s="262"/>
      <c r="F6" s="262"/>
      <c r="G6" s="18"/>
    </row>
    <row r="7" spans="1:7" x14ac:dyDescent="0.25">
      <c r="A7" s="263" t="s">
        <v>318</v>
      </c>
      <c r="B7" s="263"/>
      <c r="C7" s="263"/>
      <c r="G7" s="6"/>
    </row>
    <row r="8" spans="1:7" ht="37.5" customHeight="1" x14ac:dyDescent="0.25">
      <c r="A8" s="20" t="s">
        <v>80</v>
      </c>
      <c r="B8" s="22" t="s">
        <v>0</v>
      </c>
      <c r="C8" s="20" t="s">
        <v>77</v>
      </c>
      <c r="E8" s="20" t="s">
        <v>80</v>
      </c>
      <c r="F8" s="22" t="s">
        <v>0</v>
      </c>
      <c r="G8" s="20" t="s">
        <v>77</v>
      </c>
    </row>
    <row r="9" spans="1:7" x14ac:dyDescent="0.25">
      <c r="A9" s="7" t="s">
        <v>113</v>
      </c>
      <c r="B9" s="19" t="s">
        <v>82</v>
      </c>
      <c r="C9" s="25">
        <v>0</v>
      </c>
      <c r="E9" s="7"/>
      <c r="F9" s="19"/>
      <c r="G9" s="25"/>
    </row>
    <row r="10" spans="1:7" x14ac:dyDescent="0.25">
      <c r="A10" s="7" t="s">
        <v>113</v>
      </c>
      <c r="B10" s="19" t="s">
        <v>83</v>
      </c>
      <c r="C10" s="25">
        <v>0</v>
      </c>
      <c r="E10" s="7"/>
      <c r="F10" s="19"/>
      <c r="G10" s="25"/>
    </row>
    <row r="11" spans="1:7" x14ac:dyDescent="0.25">
      <c r="A11" s="7" t="s">
        <v>113</v>
      </c>
      <c r="B11" s="19" t="s">
        <v>86</v>
      </c>
      <c r="C11" s="25">
        <v>1</v>
      </c>
      <c r="E11" s="7"/>
      <c r="F11" s="19"/>
      <c r="G11" s="25"/>
    </row>
    <row r="12" spans="1:7" x14ac:dyDescent="0.25">
      <c r="A12" s="7" t="s">
        <v>113</v>
      </c>
      <c r="B12" s="19" t="s">
        <v>87</v>
      </c>
      <c r="C12" s="25">
        <v>1</v>
      </c>
      <c r="E12" s="7"/>
      <c r="F12" s="19"/>
      <c r="G12" s="25"/>
    </row>
    <row r="13" spans="1:7" x14ac:dyDescent="0.25">
      <c r="A13" s="7" t="s">
        <v>113</v>
      </c>
      <c r="B13" s="19" t="s">
        <v>98</v>
      </c>
      <c r="C13" s="25">
        <v>7</v>
      </c>
      <c r="E13" s="7"/>
      <c r="F13" s="19"/>
      <c r="G13" s="25"/>
    </row>
    <row r="14" spans="1:7" x14ac:dyDescent="0.25">
      <c r="A14" s="7" t="s">
        <v>113</v>
      </c>
      <c r="B14" s="19" t="s">
        <v>101</v>
      </c>
      <c r="C14" s="25">
        <v>0</v>
      </c>
      <c r="E14" s="7"/>
      <c r="F14" s="19"/>
      <c r="G14" s="25"/>
    </row>
    <row r="15" spans="1:7" x14ac:dyDescent="0.25">
      <c r="A15" s="7" t="s">
        <v>113</v>
      </c>
      <c r="B15" s="19" t="s">
        <v>102</v>
      </c>
      <c r="C15" s="25">
        <v>3</v>
      </c>
      <c r="E15" s="7"/>
      <c r="F15" s="19"/>
      <c r="G15" s="25"/>
    </row>
    <row r="16" spans="1:7" x14ac:dyDescent="0.25">
      <c r="A16" s="7" t="s">
        <v>113</v>
      </c>
      <c r="B16" s="19" t="s">
        <v>109</v>
      </c>
      <c r="C16" s="25">
        <v>17</v>
      </c>
      <c r="D16" s="28"/>
      <c r="E16" s="7"/>
      <c r="F16" s="19"/>
      <c r="G16" s="25"/>
    </row>
    <row r="17" spans="1:7" x14ac:dyDescent="0.25">
      <c r="A17" s="7" t="s">
        <v>113</v>
      </c>
      <c r="B17" s="19" t="s">
        <v>110</v>
      </c>
      <c r="C17" s="25">
        <v>2</v>
      </c>
      <c r="D17" s="28"/>
      <c r="E17" s="7"/>
      <c r="F17" s="19"/>
      <c r="G17" s="25"/>
    </row>
    <row r="18" spans="1:7" x14ac:dyDescent="0.25">
      <c r="A18" s="7" t="s">
        <v>113</v>
      </c>
      <c r="B18" s="19" t="s">
        <v>111</v>
      </c>
      <c r="C18" s="25">
        <v>7</v>
      </c>
      <c r="E18" s="7"/>
      <c r="F18" s="19"/>
      <c r="G18" s="25"/>
    </row>
    <row r="19" spans="1:7" x14ac:dyDescent="0.25">
      <c r="A19" s="7" t="s">
        <v>118</v>
      </c>
      <c r="B19" s="19" t="s">
        <v>112</v>
      </c>
      <c r="C19" s="25">
        <v>1</v>
      </c>
      <c r="E19" s="7"/>
      <c r="F19" s="19"/>
      <c r="G19" s="25"/>
    </row>
    <row r="20" spans="1:7" x14ac:dyDescent="0.25">
      <c r="A20" s="7" t="s">
        <v>113</v>
      </c>
      <c r="B20" s="19" t="s">
        <v>122</v>
      </c>
      <c r="C20" s="25">
        <v>2</v>
      </c>
      <c r="E20" s="7"/>
      <c r="F20" s="19"/>
      <c r="G20" s="25"/>
    </row>
    <row r="21" spans="1:7" x14ac:dyDescent="0.25">
      <c r="A21" s="7" t="s">
        <v>113</v>
      </c>
      <c r="B21" s="19" t="s">
        <v>123</v>
      </c>
      <c r="C21" s="25">
        <v>0</v>
      </c>
      <c r="E21" s="7"/>
      <c r="F21" s="19"/>
      <c r="G21" s="25"/>
    </row>
    <row r="22" spans="1:7" x14ac:dyDescent="0.25">
      <c r="A22" s="7" t="s">
        <v>131</v>
      </c>
      <c r="B22" s="19" t="s">
        <v>130</v>
      </c>
      <c r="C22" s="25">
        <v>4</v>
      </c>
      <c r="E22" s="7"/>
      <c r="F22" s="19"/>
      <c r="G22" s="25"/>
    </row>
    <row r="23" spans="1:7" x14ac:dyDescent="0.25">
      <c r="A23" s="7" t="s">
        <v>113</v>
      </c>
      <c r="B23" s="19" t="s">
        <v>135</v>
      </c>
      <c r="C23" s="25">
        <v>0</v>
      </c>
      <c r="E23" s="7"/>
      <c r="F23" s="19"/>
      <c r="G23" s="25"/>
    </row>
    <row r="24" spans="1:7" x14ac:dyDescent="0.25">
      <c r="A24" s="7" t="s">
        <v>116</v>
      </c>
      <c r="B24" s="19" t="s">
        <v>138</v>
      </c>
      <c r="C24" s="25">
        <v>0</v>
      </c>
      <c r="E24" s="7"/>
      <c r="F24" s="19"/>
      <c r="G24" s="25"/>
    </row>
    <row r="25" spans="1:7" x14ac:dyDescent="0.25">
      <c r="A25" s="7" t="s">
        <v>113</v>
      </c>
      <c r="B25" s="19" t="s">
        <v>139</v>
      </c>
      <c r="C25" s="25">
        <v>1</v>
      </c>
      <c r="E25" s="7"/>
      <c r="F25" s="19"/>
      <c r="G25" s="25"/>
    </row>
    <row r="26" spans="1:7" x14ac:dyDescent="0.25">
      <c r="A26" s="7" t="s">
        <v>131</v>
      </c>
      <c r="B26" s="115" t="s">
        <v>177</v>
      </c>
      <c r="C26" s="25">
        <v>1</v>
      </c>
      <c r="E26" s="7"/>
      <c r="F26" s="19"/>
      <c r="G26" s="25"/>
    </row>
    <row r="27" spans="1:7" x14ac:dyDescent="0.25">
      <c r="A27" s="7" t="s">
        <v>185</v>
      </c>
      <c r="B27" s="19" t="s">
        <v>186</v>
      </c>
      <c r="C27" s="25">
        <v>0</v>
      </c>
      <c r="E27" s="7"/>
      <c r="F27" s="19"/>
      <c r="G27" s="25"/>
    </row>
    <row r="28" spans="1:7" x14ac:dyDescent="0.25">
      <c r="A28" s="7" t="s">
        <v>185</v>
      </c>
      <c r="B28" s="19" t="s">
        <v>187</v>
      </c>
      <c r="C28" s="25">
        <v>40</v>
      </c>
      <c r="E28" s="7"/>
      <c r="F28" s="19"/>
      <c r="G28" s="25"/>
    </row>
    <row r="29" spans="1:7" x14ac:dyDescent="0.25">
      <c r="A29" s="7" t="s">
        <v>185</v>
      </c>
      <c r="B29" s="19" t="s">
        <v>188</v>
      </c>
      <c r="C29" s="25">
        <v>40</v>
      </c>
      <c r="E29" s="7"/>
      <c r="F29" s="19"/>
      <c r="G29" s="24"/>
    </row>
    <row r="30" spans="1:7" x14ac:dyDescent="0.25">
      <c r="A30" s="7" t="s">
        <v>185</v>
      </c>
      <c r="B30" s="19" t="s">
        <v>189</v>
      </c>
      <c r="C30" s="25">
        <v>15</v>
      </c>
      <c r="E30" s="7"/>
      <c r="F30" s="19"/>
      <c r="G30" s="25"/>
    </row>
    <row r="31" spans="1:7" x14ac:dyDescent="0.25">
      <c r="A31" s="7" t="s">
        <v>185</v>
      </c>
      <c r="B31" s="19" t="s">
        <v>190</v>
      </c>
      <c r="C31" s="25">
        <v>40</v>
      </c>
      <c r="E31" s="7"/>
      <c r="F31" s="19"/>
      <c r="G31" s="25"/>
    </row>
    <row r="32" spans="1:7" x14ac:dyDescent="0.25">
      <c r="A32" s="7" t="s">
        <v>185</v>
      </c>
      <c r="B32" s="19" t="s">
        <v>191</v>
      </c>
      <c r="C32" s="25">
        <v>25</v>
      </c>
      <c r="E32" s="7"/>
      <c r="F32" s="19"/>
      <c r="G32" s="25"/>
    </row>
    <row r="33" spans="1:7" x14ac:dyDescent="0.25">
      <c r="A33" s="7" t="s">
        <v>185</v>
      </c>
      <c r="B33" s="19" t="s">
        <v>192</v>
      </c>
      <c r="C33" s="25">
        <v>0</v>
      </c>
      <c r="E33" s="7"/>
      <c r="F33" s="19"/>
      <c r="G33" s="25"/>
    </row>
    <row r="34" spans="1:7" x14ac:dyDescent="0.25">
      <c r="A34" s="7" t="s">
        <v>185</v>
      </c>
      <c r="B34" s="19" t="s">
        <v>193</v>
      </c>
      <c r="C34" s="25">
        <v>93</v>
      </c>
      <c r="E34" s="7"/>
      <c r="F34" s="19"/>
      <c r="G34" s="25"/>
    </row>
    <row r="35" spans="1:7" x14ac:dyDescent="0.25">
      <c r="A35" s="7" t="s">
        <v>113</v>
      </c>
      <c r="B35" s="115" t="s">
        <v>213</v>
      </c>
      <c r="C35" s="25">
        <v>2</v>
      </c>
      <c r="E35" s="7"/>
      <c r="F35" s="19"/>
      <c r="G35" s="25"/>
    </row>
    <row r="36" spans="1:7" x14ac:dyDescent="0.25">
      <c r="A36" s="7" t="s">
        <v>113</v>
      </c>
      <c r="B36" s="19" t="s">
        <v>281</v>
      </c>
      <c r="C36" s="25">
        <v>2</v>
      </c>
      <c r="E36" s="7"/>
      <c r="F36" s="19"/>
      <c r="G36" s="25"/>
    </row>
    <row r="37" spans="1:7" x14ac:dyDescent="0.25">
      <c r="A37" s="7" t="s">
        <v>113</v>
      </c>
      <c r="B37" s="19" t="s">
        <v>90</v>
      </c>
      <c r="C37" s="25">
        <v>4</v>
      </c>
      <c r="E37" s="7"/>
      <c r="F37" s="19"/>
      <c r="G37" s="25"/>
    </row>
    <row r="38" spans="1:7" x14ac:dyDescent="0.25">
      <c r="A38" s="7" t="s">
        <v>113</v>
      </c>
      <c r="B38" s="115" t="s">
        <v>315</v>
      </c>
      <c r="C38" s="25">
        <v>1</v>
      </c>
      <c r="E38" s="7"/>
      <c r="F38" s="19"/>
      <c r="G38" s="25"/>
    </row>
    <row r="39" spans="1:7" x14ac:dyDescent="0.25">
      <c r="A39" s="7"/>
      <c r="B39" s="19"/>
      <c r="C39" s="25"/>
      <c r="E39" s="7"/>
      <c r="F39" s="19"/>
      <c r="G39" s="25"/>
    </row>
    <row r="40" spans="1:7" x14ac:dyDescent="0.25">
      <c r="A40" s="7"/>
      <c r="B40" s="19"/>
      <c r="C40" s="25"/>
      <c r="E40" s="7"/>
      <c r="F40" s="19"/>
      <c r="G40" s="25"/>
    </row>
    <row r="41" spans="1:7" x14ac:dyDescent="0.25">
      <c r="A41" s="7"/>
      <c r="B41" s="19"/>
      <c r="C41" s="25"/>
      <c r="D41" s="12"/>
      <c r="E41" s="7"/>
      <c r="F41" s="19"/>
      <c r="G41" s="25"/>
    </row>
    <row r="42" spans="1:7" x14ac:dyDescent="0.25">
      <c r="A42" s="7"/>
      <c r="B42" s="19"/>
      <c r="C42" s="25"/>
      <c r="D42" s="12"/>
      <c r="E42" s="7"/>
      <c r="F42" s="19"/>
      <c r="G42" s="25"/>
    </row>
    <row r="43" spans="1:7" x14ac:dyDescent="0.25">
      <c r="A43" s="7"/>
      <c r="B43" s="19"/>
      <c r="C43" s="25"/>
      <c r="D43" s="12"/>
      <c r="E43" s="7"/>
      <c r="F43" s="19"/>
      <c r="G43" s="25"/>
    </row>
    <row r="44" spans="1:7" x14ac:dyDescent="0.25">
      <c r="A44" s="7"/>
      <c r="B44" s="19"/>
      <c r="C44" s="25"/>
      <c r="D44" s="12"/>
      <c r="E44" s="7"/>
      <c r="F44" s="19"/>
      <c r="G44" s="25"/>
    </row>
    <row r="45" spans="1:7" x14ac:dyDescent="0.25">
      <c r="A45" s="7"/>
      <c r="B45" s="19"/>
      <c r="C45" s="25"/>
      <c r="D45" s="12"/>
      <c r="E45" s="7"/>
      <c r="F45" s="19"/>
      <c r="G45" s="25"/>
    </row>
    <row r="46" spans="1:7" x14ac:dyDescent="0.25">
      <c r="E46" s="5"/>
      <c r="F46" s="23"/>
      <c r="G46" s="5"/>
    </row>
    <row r="47" spans="1:7" x14ac:dyDescent="0.25">
      <c r="E47" s="5"/>
      <c r="F47" s="23"/>
      <c r="G47" s="5"/>
    </row>
    <row r="51" spans="1:7" ht="18.75" x14ac:dyDescent="0.3">
      <c r="B51" s="262" t="s">
        <v>264</v>
      </c>
      <c r="C51" s="262"/>
      <c r="D51" s="262"/>
      <c r="E51" s="262"/>
      <c r="F51" s="262"/>
      <c r="G51" s="18"/>
    </row>
    <row r="52" spans="1:7" x14ac:dyDescent="0.25">
      <c r="G52" s="6"/>
    </row>
    <row r="53" spans="1:7" x14ac:dyDescent="0.25">
      <c r="A53" s="20" t="s">
        <v>80</v>
      </c>
      <c r="B53" s="22" t="s">
        <v>0</v>
      </c>
      <c r="C53" s="20" t="s">
        <v>77</v>
      </c>
      <c r="E53" s="20" t="s">
        <v>80</v>
      </c>
      <c r="F53" s="22" t="s">
        <v>0</v>
      </c>
      <c r="G53" s="20" t="s">
        <v>77</v>
      </c>
    </row>
    <row r="54" spans="1:7" x14ac:dyDescent="0.25">
      <c r="A54" s="7"/>
      <c r="B54" s="19"/>
      <c r="C54" s="25"/>
      <c r="D54" s="12"/>
      <c r="E54" s="7"/>
      <c r="F54" s="19"/>
      <c r="G54" s="25"/>
    </row>
    <row r="55" spans="1:7" x14ac:dyDescent="0.25">
      <c r="A55" s="7"/>
      <c r="B55" s="19"/>
      <c r="C55" s="25"/>
      <c r="D55" s="12"/>
      <c r="E55" s="7"/>
      <c r="F55" s="19"/>
      <c r="G55" s="25"/>
    </row>
    <row r="56" spans="1:7" x14ac:dyDescent="0.25">
      <c r="A56" s="7"/>
      <c r="B56" s="19"/>
      <c r="C56" s="25"/>
      <c r="D56" s="12"/>
      <c r="E56" s="7"/>
      <c r="F56" s="19"/>
      <c r="G56" s="25"/>
    </row>
    <row r="57" spans="1:7" x14ac:dyDescent="0.25">
      <c r="A57" s="7"/>
      <c r="B57" s="19"/>
      <c r="C57" s="25"/>
      <c r="D57" s="12"/>
      <c r="E57" s="7"/>
      <c r="F57" s="19"/>
      <c r="G57" s="25"/>
    </row>
    <row r="58" spans="1:7" x14ac:dyDescent="0.25">
      <c r="A58" s="7"/>
      <c r="B58" s="19"/>
      <c r="C58" s="25"/>
      <c r="D58" s="12"/>
      <c r="E58" s="7"/>
      <c r="F58" s="19"/>
      <c r="G58" s="25"/>
    </row>
    <row r="59" spans="1:7" x14ac:dyDescent="0.25">
      <c r="A59" s="7"/>
      <c r="B59" s="19"/>
      <c r="C59" s="25"/>
      <c r="D59" s="12"/>
      <c r="E59" s="7"/>
      <c r="F59" s="19"/>
      <c r="G59" s="25"/>
    </row>
    <row r="60" spans="1:7" x14ac:dyDescent="0.25">
      <c r="A60" s="7"/>
      <c r="B60" s="19"/>
      <c r="C60" s="25"/>
      <c r="D60" s="12"/>
      <c r="E60" s="7"/>
      <c r="F60" s="19"/>
      <c r="G60" s="25"/>
    </row>
    <row r="61" spans="1:7" x14ac:dyDescent="0.25">
      <c r="A61" s="7"/>
      <c r="B61" s="19"/>
      <c r="C61" s="25"/>
      <c r="D61" s="12"/>
      <c r="E61" s="7"/>
      <c r="F61" s="19"/>
      <c r="G61" s="25"/>
    </row>
    <row r="62" spans="1:7" x14ac:dyDescent="0.25">
      <c r="A62" s="7"/>
      <c r="B62" s="19"/>
      <c r="C62" s="25"/>
      <c r="D62" s="12"/>
      <c r="E62" s="7"/>
      <c r="F62" s="19"/>
      <c r="G62" s="25"/>
    </row>
    <row r="63" spans="1:7" x14ac:dyDescent="0.25">
      <c r="A63" s="7"/>
      <c r="B63" s="19"/>
      <c r="C63" s="25"/>
      <c r="D63" s="12"/>
      <c r="E63" s="7"/>
      <c r="F63" s="19"/>
      <c r="G63" s="25"/>
    </row>
    <row r="64" spans="1:7" x14ac:dyDescent="0.25">
      <c r="A64" s="7"/>
      <c r="B64" s="19"/>
      <c r="C64" s="25"/>
      <c r="D64" s="12"/>
      <c r="E64" s="7"/>
      <c r="F64" s="19"/>
      <c r="G64" s="25"/>
    </row>
    <row r="65" spans="1:7" x14ac:dyDescent="0.25">
      <c r="A65" s="7"/>
      <c r="B65" s="19"/>
      <c r="C65" s="25"/>
      <c r="D65" s="12"/>
      <c r="E65" s="7"/>
      <c r="F65" s="19"/>
      <c r="G65" s="25"/>
    </row>
    <row r="66" spans="1:7" x14ac:dyDescent="0.25">
      <c r="A66" s="7"/>
      <c r="B66" s="19"/>
      <c r="C66" s="25"/>
      <c r="D66" s="12"/>
      <c r="E66" s="7"/>
      <c r="F66" s="19"/>
      <c r="G66" s="25"/>
    </row>
    <row r="67" spans="1:7" x14ac:dyDescent="0.25">
      <c r="A67" s="7"/>
      <c r="B67" s="19"/>
      <c r="C67" s="25"/>
      <c r="D67" s="12"/>
      <c r="E67" s="7"/>
      <c r="F67" s="19"/>
      <c r="G67" s="25"/>
    </row>
    <row r="68" spans="1:7" x14ac:dyDescent="0.25">
      <c r="A68" s="7"/>
      <c r="B68" s="19"/>
      <c r="C68" s="25"/>
      <c r="D68" s="12"/>
      <c r="E68" s="7"/>
      <c r="F68" s="19"/>
      <c r="G68" s="25"/>
    </row>
    <row r="69" spans="1:7" x14ac:dyDescent="0.25">
      <c r="A69" s="7"/>
      <c r="B69" s="19"/>
      <c r="C69" s="25"/>
      <c r="D69" s="12"/>
      <c r="E69" s="7"/>
      <c r="F69" s="19"/>
      <c r="G69" s="25"/>
    </row>
    <row r="70" spans="1:7" x14ac:dyDescent="0.25">
      <c r="A70" s="7"/>
      <c r="B70" s="19"/>
      <c r="C70" s="25"/>
      <c r="D70" s="12"/>
      <c r="E70" s="7"/>
      <c r="F70" s="19"/>
      <c r="G70" s="25"/>
    </row>
    <row r="71" spans="1:7" x14ac:dyDescent="0.25">
      <c r="A71" s="7"/>
      <c r="B71" s="19"/>
      <c r="C71" s="25"/>
      <c r="D71" s="12"/>
      <c r="E71" s="7"/>
      <c r="F71" s="19"/>
      <c r="G71" s="25"/>
    </row>
    <row r="72" spans="1:7" x14ac:dyDescent="0.25">
      <c r="A72" s="7"/>
      <c r="B72" s="19"/>
      <c r="C72" s="25"/>
      <c r="D72" s="12"/>
      <c r="E72" s="7"/>
      <c r="F72" s="19"/>
      <c r="G72" s="25"/>
    </row>
    <row r="73" spans="1:7" x14ac:dyDescent="0.25">
      <c r="A73" s="7"/>
      <c r="B73" s="19"/>
      <c r="C73" s="25"/>
      <c r="D73" s="12"/>
      <c r="E73" s="7"/>
      <c r="F73" s="19"/>
      <c r="G73" s="25"/>
    </row>
    <row r="74" spans="1:7" x14ac:dyDescent="0.25">
      <c r="A74" s="7"/>
      <c r="B74" s="19"/>
      <c r="C74" s="24"/>
      <c r="D74" s="12"/>
      <c r="E74" s="7"/>
      <c r="F74" s="19"/>
      <c r="G74" s="25"/>
    </row>
    <row r="75" spans="1:7" x14ac:dyDescent="0.25">
      <c r="A75" s="7"/>
      <c r="B75" s="19"/>
      <c r="C75" s="25"/>
      <c r="D75" s="12"/>
      <c r="E75" s="7"/>
      <c r="F75" s="19"/>
      <c r="G75" s="25"/>
    </row>
    <row r="76" spans="1:7" x14ac:dyDescent="0.25">
      <c r="A76" s="7"/>
      <c r="B76" s="19"/>
      <c r="C76" s="24"/>
      <c r="D76" s="12"/>
      <c r="E76" s="7"/>
      <c r="F76" s="19"/>
      <c r="G76" s="25"/>
    </row>
    <row r="77" spans="1:7" x14ac:dyDescent="0.25">
      <c r="A77" s="7"/>
      <c r="B77" s="19"/>
      <c r="C77" s="25"/>
      <c r="D77" s="12"/>
      <c r="E77" s="7"/>
      <c r="F77" s="19"/>
      <c r="G77" s="25"/>
    </row>
    <row r="78" spans="1:7" x14ac:dyDescent="0.25">
      <c r="A78" s="7"/>
      <c r="B78" s="19"/>
      <c r="C78" s="25"/>
      <c r="D78" s="12"/>
      <c r="E78" s="7"/>
      <c r="F78" s="19"/>
      <c r="G78" s="25"/>
    </row>
    <row r="79" spans="1:7" x14ac:dyDescent="0.25">
      <c r="A79" s="7"/>
      <c r="B79" s="19"/>
      <c r="C79" s="24"/>
      <c r="D79" s="12"/>
      <c r="E79" s="7"/>
      <c r="F79" s="19"/>
      <c r="G79" s="25"/>
    </row>
    <row r="80" spans="1:7" x14ac:dyDescent="0.25">
      <c r="A80" s="7"/>
      <c r="B80" s="19"/>
      <c r="C80" s="25"/>
      <c r="D80" s="12"/>
      <c r="E80" s="7"/>
      <c r="F80" s="19"/>
      <c r="G80" s="25"/>
    </row>
    <row r="81" spans="1:7" x14ac:dyDescent="0.25">
      <c r="A81" s="7"/>
      <c r="B81" s="19"/>
      <c r="C81" s="25"/>
      <c r="D81" s="12"/>
      <c r="E81" s="7"/>
      <c r="F81" s="19"/>
      <c r="G81" s="25"/>
    </row>
    <row r="82" spans="1:7" x14ac:dyDescent="0.25">
      <c r="A82" s="7"/>
      <c r="B82" s="19"/>
      <c r="C82" s="25"/>
      <c r="D82" s="12"/>
      <c r="E82" s="7"/>
      <c r="F82" s="19"/>
      <c r="G82" s="25"/>
    </row>
    <row r="83" spans="1:7" x14ac:dyDescent="0.25">
      <c r="A83" s="7"/>
      <c r="B83" s="19"/>
      <c r="C83" s="25"/>
      <c r="D83" s="12"/>
      <c r="E83" s="7"/>
      <c r="F83" s="19"/>
      <c r="G83" s="25"/>
    </row>
    <row r="84" spans="1:7" x14ac:dyDescent="0.25">
      <c r="A84" s="7"/>
      <c r="B84" s="19"/>
      <c r="C84" s="25"/>
      <c r="D84" s="112"/>
      <c r="E84" s="7"/>
      <c r="F84" s="19"/>
      <c r="G84" s="25"/>
    </row>
    <row r="85" spans="1:7" x14ac:dyDescent="0.25">
      <c r="A85" s="7"/>
      <c r="B85" s="19"/>
      <c r="C85" s="25"/>
      <c r="D85" s="12"/>
      <c r="E85" s="7"/>
      <c r="F85" s="19"/>
      <c r="G85" s="25"/>
    </row>
    <row r="86" spans="1:7" x14ac:dyDescent="0.25">
      <c r="A86" s="7"/>
      <c r="B86" s="19"/>
      <c r="C86" s="25"/>
      <c r="D86" s="12"/>
      <c r="E86" s="7"/>
      <c r="F86" s="19"/>
      <c r="G86" s="25"/>
    </row>
    <row r="87" spans="1:7" x14ac:dyDescent="0.25">
      <c r="A87" s="7"/>
      <c r="B87" s="19"/>
      <c r="C87" s="25"/>
      <c r="D87" s="12"/>
      <c r="E87" s="7"/>
      <c r="F87" s="19"/>
      <c r="G87" s="25"/>
    </row>
    <row r="88" spans="1:7" x14ac:dyDescent="0.25">
      <c r="A88" s="7"/>
      <c r="B88" s="19"/>
      <c r="C88" s="25"/>
      <c r="D88" s="12"/>
      <c r="E88" s="7"/>
      <c r="F88" s="19"/>
      <c r="G88" s="25"/>
    </row>
    <row r="89" spans="1:7" x14ac:dyDescent="0.25">
      <c r="A89" s="7"/>
      <c r="B89" s="19"/>
      <c r="C89" s="25"/>
      <c r="D89" s="12"/>
      <c r="E89" s="7"/>
      <c r="F89" s="19"/>
      <c r="G89" s="25"/>
    </row>
    <row r="90" spans="1:7" x14ac:dyDescent="0.25">
      <c r="A90" s="7"/>
      <c r="B90" s="19"/>
      <c r="C90" s="25"/>
      <c r="D90" s="12"/>
      <c r="E90" s="7"/>
      <c r="F90" s="19"/>
      <c r="G90" s="25"/>
    </row>
    <row r="96" spans="1:7" ht="18.75" x14ac:dyDescent="0.3">
      <c r="B96" s="262" t="s">
        <v>263</v>
      </c>
      <c r="C96" s="262"/>
      <c r="D96" s="262"/>
      <c r="E96" s="262"/>
      <c r="F96" s="262"/>
      <c r="G96" s="18"/>
    </row>
    <row r="97" spans="1:7" x14ac:dyDescent="0.25">
      <c r="G97" s="6"/>
    </row>
    <row r="98" spans="1:7" x14ac:dyDescent="0.25">
      <c r="A98" s="20" t="s">
        <v>80</v>
      </c>
      <c r="B98" s="22" t="s">
        <v>0</v>
      </c>
      <c r="C98" s="20" t="s">
        <v>77</v>
      </c>
      <c r="E98" s="20" t="s">
        <v>80</v>
      </c>
      <c r="F98" s="22" t="s">
        <v>0</v>
      </c>
      <c r="G98" s="20" t="s">
        <v>77</v>
      </c>
    </row>
    <row r="99" spans="1:7" x14ac:dyDescent="0.25">
      <c r="A99" s="7"/>
      <c r="B99" s="19"/>
      <c r="C99" s="25"/>
      <c r="D99" s="12"/>
      <c r="E99" s="7"/>
      <c r="F99" s="19"/>
      <c r="G99" s="25"/>
    </row>
    <row r="100" spans="1:7" x14ac:dyDescent="0.25">
      <c r="A100" s="7"/>
      <c r="B100" s="19"/>
      <c r="C100" s="25"/>
      <c r="D100" s="12"/>
      <c r="E100" s="7"/>
      <c r="F100" s="19"/>
      <c r="G100" s="25"/>
    </row>
    <row r="101" spans="1:7" x14ac:dyDescent="0.25">
      <c r="A101" s="7"/>
      <c r="B101" s="19"/>
      <c r="C101" s="25"/>
      <c r="D101" s="12"/>
      <c r="E101" s="7"/>
      <c r="F101" s="19"/>
      <c r="G101" s="25"/>
    </row>
    <row r="102" spans="1:7" x14ac:dyDescent="0.25">
      <c r="A102" s="7"/>
      <c r="B102" s="19"/>
      <c r="C102" s="25"/>
      <c r="D102" s="12"/>
      <c r="E102" s="7"/>
      <c r="F102" s="19"/>
      <c r="G102" s="25"/>
    </row>
    <row r="103" spans="1:7" x14ac:dyDescent="0.25">
      <c r="A103" s="7"/>
      <c r="B103" s="19"/>
      <c r="C103" s="25"/>
      <c r="D103" s="12"/>
      <c r="E103" s="7"/>
      <c r="F103" s="19"/>
      <c r="G103" s="25"/>
    </row>
    <row r="104" spans="1:7" x14ac:dyDescent="0.25">
      <c r="A104" s="7"/>
      <c r="B104" s="19"/>
      <c r="C104" s="25"/>
      <c r="D104" s="12"/>
      <c r="E104" s="7"/>
      <c r="F104" s="19"/>
      <c r="G104" s="25"/>
    </row>
    <row r="105" spans="1:7" x14ac:dyDescent="0.25">
      <c r="A105" s="7"/>
      <c r="B105" s="19"/>
      <c r="C105" s="25"/>
      <c r="D105" s="12"/>
      <c r="E105" s="7"/>
      <c r="F105" s="19"/>
      <c r="G105" s="25"/>
    </row>
    <row r="106" spans="1:7" x14ac:dyDescent="0.25">
      <c r="A106" s="7"/>
      <c r="B106" s="19"/>
      <c r="C106" s="25"/>
      <c r="D106" s="12"/>
      <c r="E106" s="7"/>
      <c r="F106" s="19"/>
      <c r="G106" s="25"/>
    </row>
    <row r="107" spans="1:7" x14ac:dyDescent="0.25">
      <c r="A107" s="7"/>
      <c r="B107" s="19"/>
      <c r="C107" s="25"/>
      <c r="D107" s="12"/>
      <c r="E107" s="7"/>
      <c r="F107" s="19"/>
      <c r="G107" s="25"/>
    </row>
    <row r="108" spans="1:7" x14ac:dyDescent="0.25">
      <c r="A108" s="7"/>
      <c r="B108" s="19"/>
      <c r="C108" s="25"/>
      <c r="D108" s="12"/>
      <c r="E108" s="7"/>
      <c r="F108" s="19"/>
      <c r="G108" s="25"/>
    </row>
    <row r="109" spans="1:7" x14ac:dyDescent="0.25">
      <c r="A109" s="7"/>
      <c r="B109" s="19"/>
      <c r="C109" s="24"/>
      <c r="D109" s="12"/>
      <c r="E109" s="7"/>
      <c r="F109" s="19"/>
      <c r="G109" s="25"/>
    </row>
    <row r="110" spans="1:7" x14ac:dyDescent="0.25">
      <c r="A110" s="7"/>
      <c r="B110" s="19"/>
      <c r="C110" s="25"/>
      <c r="D110" s="12"/>
      <c r="E110" s="7"/>
      <c r="F110" s="19"/>
      <c r="G110" s="25"/>
    </row>
    <row r="111" spans="1:7" x14ac:dyDescent="0.25">
      <c r="A111" s="7"/>
      <c r="B111" s="19"/>
      <c r="C111" s="25"/>
      <c r="D111" s="12"/>
      <c r="E111" s="7"/>
      <c r="F111" s="19"/>
      <c r="G111" s="25"/>
    </row>
    <row r="112" spans="1:7" x14ac:dyDescent="0.25">
      <c r="A112" s="7"/>
      <c r="B112" s="19"/>
      <c r="C112" s="25"/>
      <c r="D112" s="12"/>
      <c r="E112" s="7"/>
      <c r="F112" s="19"/>
      <c r="G112" s="25"/>
    </row>
    <row r="113" spans="1:7" x14ac:dyDescent="0.25">
      <c r="A113" s="7"/>
      <c r="B113" s="19"/>
      <c r="C113" s="25"/>
      <c r="D113" s="12"/>
      <c r="E113" s="7"/>
      <c r="F113" s="19"/>
      <c r="G113" s="25"/>
    </row>
    <row r="114" spans="1:7" x14ac:dyDescent="0.25">
      <c r="A114" s="7"/>
      <c r="B114" s="19"/>
      <c r="C114" s="25"/>
      <c r="D114" s="12"/>
      <c r="E114" s="7"/>
      <c r="F114" s="19"/>
      <c r="G114" s="25"/>
    </row>
    <row r="115" spans="1:7" x14ac:dyDescent="0.25">
      <c r="A115" s="7"/>
      <c r="B115" s="19"/>
      <c r="C115" s="25"/>
      <c r="D115" s="12"/>
      <c r="E115" s="7"/>
      <c r="F115" s="19"/>
      <c r="G115" s="25"/>
    </row>
    <row r="116" spans="1:7" x14ac:dyDescent="0.25">
      <c r="A116" s="7"/>
      <c r="B116" s="19"/>
      <c r="C116" s="24"/>
      <c r="D116" s="12"/>
      <c r="E116" s="7"/>
      <c r="F116" s="19"/>
      <c r="G116" s="25"/>
    </row>
    <row r="117" spans="1:7" x14ac:dyDescent="0.25">
      <c r="A117" s="7"/>
      <c r="B117" s="19"/>
      <c r="C117" s="25"/>
      <c r="D117" s="12"/>
      <c r="E117" s="7"/>
      <c r="F117" s="19"/>
      <c r="G117" s="25"/>
    </row>
    <row r="118" spans="1:7" x14ac:dyDescent="0.25">
      <c r="A118" s="7"/>
      <c r="B118" s="19"/>
      <c r="C118" s="25"/>
      <c r="D118" s="12"/>
      <c r="E118" s="7"/>
      <c r="F118" s="19"/>
      <c r="G118" s="25"/>
    </row>
    <row r="119" spans="1:7" x14ac:dyDescent="0.25">
      <c r="A119" s="7"/>
      <c r="B119" s="19"/>
      <c r="C119" s="24"/>
      <c r="D119" s="12"/>
      <c r="E119" s="7"/>
      <c r="F119" s="19"/>
      <c r="G119" s="24"/>
    </row>
    <row r="120" spans="1:7" x14ac:dyDescent="0.25">
      <c r="A120" s="7"/>
      <c r="B120" s="19"/>
      <c r="C120" s="25"/>
      <c r="E120" s="7"/>
      <c r="F120" s="19"/>
      <c r="G120" s="25"/>
    </row>
    <row r="121" spans="1:7" x14ac:dyDescent="0.25">
      <c r="A121" s="7"/>
      <c r="B121" s="19"/>
      <c r="C121" s="25"/>
      <c r="E121" s="7"/>
      <c r="F121" s="19"/>
      <c r="G121" s="25"/>
    </row>
    <row r="122" spans="1:7" x14ac:dyDescent="0.25">
      <c r="A122" s="7"/>
      <c r="B122" s="19"/>
      <c r="C122" s="25"/>
      <c r="E122" s="7"/>
      <c r="F122" s="19"/>
      <c r="G122" s="25"/>
    </row>
    <row r="123" spans="1:7" x14ac:dyDescent="0.25">
      <c r="A123" s="7"/>
      <c r="B123" s="19"/>
      <c r="C123" s="25"/>
      <c r="E123" s="7"/>
      <c r="F123" s="19"/>
      <c r="G123" s="25"/>
    </row>
    <row r="124" spans="1:7" x14ac:dyDescent="0.25">
      <c r="A124" s="7"/>
      <c r="B124" s="19"/>
      <c r="C124" s="25"/>
      <c r="E124" s="7"/>
      <c r="F124" s="19"/>
      <c r="G124" s="25"/>
    </row>
    <row r="125" spans="1:7" x14ac:dyDescent="0.25">
      <c r="A125" s="7"/>
      <c r="B125" s="19"/>
      <c r="C125" s="25"/>
      <c r="E125" s="7"/>
      <c r="F125" s="19"/>
      <c r="G125" s="25"/>
    </row>
    <row r="126" spans="1:7" x14ac:dyDescent="0.25">
      <c r="A126" s="7"/>
      <c r="B126" s="19"/>
      <c r="C126" s="25"/>
      <c r="E126" s="7"/>
      <c r="F126" s="19"/>
      <c r="G126" s="25"/>
    </row>
    <row r="127" spans="1:7" x14ac:dyDescent="0.25">
      <c r="A127" s="7"/>
      <c r="B127" s="19"/>
      <c r="C127" s="25"/>
      <c r="E127" s="7"/>
      <c r="F127" s="19"/>
      <c r="G127" s="25"/>
    </row>
    <row r="128" spans="1:7" x14ac:dyDescent="0.25">
      <c r="A128" s="7"/>
      <c r="B128" s="19"/>
      <c r="C128" s="25"/>
      <c r="E128" s="7"/>
      <c r="F128" s="19"/>
      <c r="G128" s="25"/>
    </row>
    <row r="129" spans="1:7" x14ac:dyDescent="0.25">
      <c r="A129" s="7"/>
      <c r="B129" s="19"/>
      <c r="C129" s="25"/>
      <c r="D129" s="27"/>
      <c r="E129" s="7"/>
      <c r="F129" s="19"/>
      <c r="G129" s="25"/>
    </row>
    <row r="130" spans="1:7" x14ac:dyDescent="0.25">
      <c r="A130" s="7"/>
      <c r="B130" s="19"/>
      <c r="C130" s="25"/>
      <c r="E130" s="7"/>
      <c r="F130" s="19"/>
      <c r="G130" s="25"/>
    </row>
    <row r="131" spans="1:7" x14ac:dyDescent="0.25">
      <c r="A131" s="7"/>
      <c r="B131" s="19"/>
      <c r="C131" s="25"/>
      <c r="E131" s="7"/>
      <c r="F131" s="19"/>
      <c r="G131" s="25"/>
    </row>
    <row r="132" spans="1:7" x14ac:dyDescent="0.25">
      <c r="A132" s="7"/>
      <c r="B132" s="19"/>
      <c r="C132" s="25"/>
      <c r="E132" s="7"/>
      <c r="F132" s="19"/>
      <c r="G132" s="25"/>
    </row>
    <row r="133" spans="1:7" x14ac:dyDescent="0.25">
      <c r="A133" s="7"/>
      <c r="B133" s="19"/>
      <c r="C133" s="25"/>
      <c r="E133" s="7"/>
      <c r="F133" s="19"/>
      <c r="G133" s="25"/>
    </row>
    <row r="134" spans="1:7" x14ac:dyDescent="0.25">
      <c r="A134" s="7"/>
      <c r="B134" s="19"/>
      <c r="C134" s="25"/>
      <c r="E134" s="7"/>
      <c r="F134" s="19"/>
      <c r="G134" s="25"/>
    </row>
    <row r="135" spans="1:7" x14ac:dyDescent="0.25">
      <c r="A135" s="7"/>
      <c r="B135" s="19"/>
      <c r="C135" s="25"/>
      <c r="E135" s="7"/>
      <c r="F135" s="19"/>
      <c r="G135" s="25"/>
    </row>
  </sheetData>
  <mergeCells count="4">
    <mergeCell ref="B6:F6"/>
    <mergeCell ref="A7:C7"/>
    <mergeCell ref="B51:F51"/>
    <mergeCell ref="B96:F96"/>
  </mergeCells>
  <pageMargins left="0.25" right="0.25" top="0.75" bottom="0.75" header="0.3" footer="0.3"/>
  <pageSetup fitToWidth="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G135"/>
  <sheetViews>
    <sheetView showGridLines="0" view="pageLayout" topLeftCell="A67" zoomScaleNormal="100" workbookViewId="0">
      <selection activeCell="C89" sqref="C89"/>
    </sheetView>
  </sheetViews>
  <sheetFormatPr baseColWidth="10" defaultRowHeight="15" x14ac:dyDescent="0.25"/>
  <cols>
    <col min="1" max="1" width="9" style="1" bestFit="1" customWidth="1"/>
    <col min="2" max="2" width="23.5703125" style="21" customWidth="1"/>
    <col min="3" max="3" width="10.42578125" style="1" bestFit="1" customWidth="1"/>
    <col min="4" max="4" width="10.85546875" style="1" customWidth="1"/>
    <col min="5" max="5" width="8.7109375" style="1" bestFit="1" customWidth="1"/>
    <col min="6" max="6" width="26.42578125" style="21" customWidth="1"/>
    <col min="7" max="7" width="10.7109375" style="1" bestFit="1" customWidth="1"/>
    <col min="8" max="16384" width="11.42578125" style="1"/>
  </cols>
  <sheetData>
    <row r="1" spans="1:7" ht="15" customHeight="1" x14ac:dyDescent="0.25">
      <c r="E1" s="5"/>
      <c r="F1" s="23"/>
      <c r="G1" s="5"/>
    </row>
    <row r="2" spans="1:7" x14ac:dyDescent="0.25">
      <c r="E2" s="5"/>
      <c r="F2" s="23"/>
      <c r="G2" s="5"/>
    </row>
    <row r="3" spans="1:7" ht="15.75" customHeight="1" x14ac:dyDescent="0.25"/>
    <row r="6" spans="1:7" ht="18.75" x14ac:dyDescent="0.3">
      <c r="B6" s="262" t="s">
        <v>263</v>
      </c>
      <c r="C6" s="262"/>
      <c r="D6" s="262"/>
      <c r="E6" s="262"/>
      <c r="F6" s="262"/>
      <c r="G6" s="18"/>
    </row>
    <row r="7" spans="1:7" x14ac:dyDescent="0.25">
      <c r="A7" s="263" t="s">
        <v>318</v>
      </c>
      <c r="B7" s="263"/>
      <c r="C7" s="263"/>
      <c r="G7" s="6"/>
    </row>
    <row r="8" spans="1:7" ht="37.5" customHeight="1" x14ac:dyDescent="0.25">
      <c r="A8" s="20" t="s">
        <v>80</v>
      </c>
      <c r="B8" s="22" t="s">
        <v>0</v>
      </c>
      <c r="C8" s="20" t="s">
        <v>77</v>
      </c>
      <c r="E8" s="20" t="s">
        <v>80</v>
      </c>
      <c r="F8" s="22" t="s">
        <v>0</v>
      </c>
      <c r="G8" s="20" t="s">
        <v>77</v>
      </c>
    </row>
    <row r="9" spans="1:7" x14ac:dyDescent="0.25">
      <c r="A9" s="7" t="s">
        <v>113</v>
      </c>
      <c r="B9" s="19" t="s">
        <v>81</v>
      </c>
      <c r="C9" s="25">
        <v>0</v>
      </c>
      <c r="E9" s="7" t="s">
        <v>113</v>
      </c>
      <c r="F9" s="19" t="s">
        <v>122</v>
      </c>
      <c r="G9" s="25">
        <v>2</v>
      </c>
    </row>
    <row r="10" spans="1:7" x14ac:dyDescent="0.25">
      <c r="A10" s="7" t="s">
        <v>113</v>
      </c>
      <c r="B10" s="19" t="s">
        <v>82</v>
      </c>
      <c r="C10" s="25">
        <v>0</v>
      </c>
      <c r="E10" s="29" t="s">
        <v>113</v>
      </c>
      <c r="F10" s="30" t="s">
        <v>123</v>
      </c>
      <c r="G10" s="31">
        <v>0</v>
      </c>
    </row>
    <row r="11" spans="1:7" x14ac:dyDescent="0.25">
      <c r="A11" s="7" t="s">
        <v>113</v>
      </c>
      <c r="B11" s="19" t="s">
        <v>83</v>
      </c>
      <c r="C11" s="25">
        <v>0</v>
      </c>
      <c r="E11" s="7" t="s">
        <v>113</v>
      </c>
      <c r="F11" s="19" t="s">
        <v>124</v>
      </c>
      <c r="G11" s="25">
        <v>0</v>
      </c>
    </row>
    <row r="12" spans="1:7" x14ac:dyDescent="0.25">
      <c r="A12" s="7" t="s">
        <v>113</v>
      </c>
      <c r="B12" s="19" t="s">
        <v>84</v>
      </c>
      <c r="C12" s="26">
        <v>0</v>
      </c>
      <c r="E12" s="29" t="s">
        <v>113</v>
      </c>
      <c r="F12" s="30" t="s">
        <v>125</v>
      </c>
      <c r="G12" s="31">
        <v>0</v>
      </c>
    </row>
    <row r="13" spans="1:7" x14ac:dyDescent="0.25">
      <c r="A13" s="7" t="s">
        <v>113</v>
      </c>
      <c r="B13" s="19" t="s">
        <v>85</v>
      </c>
      <c r="C13" s="26">
        <v>1</v>
      </c>
      <c r="E13" s="7" t="s">
        <v>113</v>
      </c>
      <c r="F13" s="19" t="s">
        <v>126</v>
      </c>
      <c r="G13" s="26">
        <v>2</v>
      </c>
    </row>
    <row r="14" spans="1:7" x14ac:dyDescent="0.25">
      <c r="A14" s="7" t="s">
        <v>113</v>
      </c>
      <c r="B14" s="19" t="s">
        <v>86</v>
      </c>
      <c r="C14" s="25">
        <v>1</v>
      </c>
      <c r="E14" s="7" t="s">
        <v>113</v>
      </c>
      <c r="F14" s="19" t="s">
        <v>127</v>
      </c>
      <c r="G14" s="25">
        <v>0</v>
      </c>
    </row>
    <row r="15" spans="1:7" x14ac:dyDescent="0.25">
      <c r="A15" s="7" t="s">
        <v>113</v>
      </c>
      <c r="B15" s="19" t="s">
        <v>87</v>
      </c>
      <c r="C15" s="25">
        <v>1</v>
      </c>
      <c r="E15" s="7" t="s">
        <v>113</v>
      </c>
      <c r="F15" s="19" t="s">
        <v>128</v>
      </c>
      <c r="G15" s="25">
        <v>0</v>
      </c>
    </row>
    <row r="16" spans="1:7" x14ac:dyDescent="0.25">
      <c r="A16" s="29" t="s">
        <v>113</v>
      </c>
      <c r="B16" s="30" t="s">
        <v>88</v>
      </c>
      <c r="C16" s="31">
        <v>2</v>
      </c>
      <c r="D16" s="28"/>
      <c r="E16" s="32" t="s">
        <v>115</v>
      </c>
      <c r="F16" s="33" t="s">
        <v>129</v>
      </c>
      <c r="G16" s="34">
        <v>22</v>
      </c>
    </row>
    <row r="17" spans="1:7" x14ac:dyDescent="0.25">
      <c r="A17" s="29" t="s">
        <v>113</v>
      </c>
      <c r="B17" s="30" t="s">
        <v>89</v>
      </c>
      <c r="C17" s="31">
        <v>150</v>
      </c>
      <c r="D17" s="28"/>
      <c r="E17" s="7" t="s">
        <v>131</v>
      </c>
      <c r="F17" s="19" t="s">
        <v>130</v>
      </c>
      <c r="G17" s="25">
        <v>4</v>
      </c>
    </row>
    <row r="18" spans="1:7" x14ac:dyDescent="0.25">
      <c r="A18" s="29" t="s">
        <v>113</v>
      </c>
      <c r="B18" s="41" t="s">
        <v>283</v>
      </c>
      <c r="C18" s="31">
        <v>0</v>
      </c>
      <c r="E18" s="7" t="s">
        <v>115</v>
      </c>
      <c r="F18" s="19" t="s">
        <v>132</v>
      </c>
      <c r="G18" s="25">
        <v>33</v>
      </c>
    </row>
    <row r="19" spans="1:7" x14ac:dyDescent="0.25">
      <c r="A19" s="29" t="s">
        <v>113</v>
      </c>
      <c r="B19" s="41" t="s">
        <v>284</v>
      </c>
      <c r="C19" s="31">
        <v>0</v>
      </c>
      <c r="E19" s="7" t="s">
        <v>113</v>
      </c>
      <c r="F19" s="19" t="s">
        <v>133</v>
      </c>
      <c r="G19" s="25">
        <v>1</v>
      </c>
    </row>
    <row r="20" spans="1:7" x14ac:dyDescent="0.25">
      <c r="A20" s="29" t="s">
        <v>113</v>
      </c>
      <c r="B20" s="41" t="s">
        <v>285</v>
      </c>
      <c r="C20" s="31">
        <v>0</v>
      </c>
      <c r="E20" s="7" t="s">
        <v>113</v>
      </c>
      <c r="F20" s="19" t="s">
        <v>134</v>
      </c>
      <c r="G20" s="25">
        <v>1</v>
      </c>
    </row>
    <row r="21" spans="1:7" x14ac:dyDescent="0.25">
      <c r="A21" s="7" t="s">
        <v>113</v>
      </c>
      <c r="B21" s="19"/>
      <c r="C21" s="25"/>
      <c r="E21" s="29" t="s">
        <v>113</v>
      </c>
      <c r="F21" s="30" t="s">
        <v>135</v>
      </c>
      <c r="G21" s="31">
        <v>0</v>
      </c>
    </row>
    <row r="22" spans="1:7" x14ac:dyDescent="0.25">
      <c r="A22" s="7" t="s">
        <v>113</v>
      </c>
      <c r="B22" s="19" t="s">
        <v>93</v>
      </c>
      <c r="C22" s="25">
        <v>0</v>
      </c>
      <c r="E22" s="7" t="s">
        <v>113</v>
      </c>
      <c r="F22" s="19" t="s">
        <v>136</v>
      </c>
      <c r="G22" s="25">
        <v>0</v>
      </c>
    </row>
    <row r="23" spans="1:7" x14ac:dyDescent="0.25">
      <c r="A23" s="7" t="s">
        <v>113</v>
      </c>
      <c r="B23" s="19" t="s">
        <v>94</v>
      </c>
      <c r="C23" s="25">
        <v>0</v>
      </c>
      <c r="E23" s="7" t="s">
        <v>113</v>
      </c>
      <c r="F23" s="19" t="s">
        <v>137</v>
      </c>
      <c r="G23" s="25">
        <v>1</v>
      </c>
    </row>
    <row r="24" spans="1:7" x14ac:dyDescent="0.25">
      <c r="A24" s="7" t="s">
        <v>113</v>
      </c>
      <c r="B24" s="19" t="s">
        <v>95</v>
      </c>
      <c r="C24" s="25">
        <v>2</v>
      </c>
      <c r="E24" s="7" t="s">
        <v>116</v>
      </c>
      <c r="F24" s="19" t="s">
        <v>138</v>
      </c>
      <c r="G24" s="25">
        <v>0</v>
      </c>
    </row>
    <row r="25" spans="1:7" x14ac:dyDescent="0.25">
      <c r="A25" s="7" t="s">
        <v>114</v>
      </c>
      <c r="B25" s="19" t="s">
        <v>96</v>
      </c>
      <c r="C25" s="25">
        <v>4</v>
      </c>
      <c r="E25" s="7" t="s">
        <v>113</v>
      </c>
      <c r="F25" s="19" t="s">
        <v>139</v>
      </c>
      <c r="G25" s="25">
        <v>1</v>
      </c>
    </row>
    <row r="26" spans="1:7" x14ac:dyDescent="0.25">
      <c r="A26" s="7" t="s">
        <v>114</v>
      </c>
      <c r="B26" s="19" t="s">
        <v>97</v>
      </c>
      <c r="C26" s="25">
        <v>0</v>
      </c>
      <c r="E26" s="7" t="s">
        <v>113</v>
      </c>
      <c r="F26" s="19" t="s">
        <v>140</v>
      </c>
      <c r="G26" s="25">
        <v>10</v>
      </c>
    </row>
    <row r="27" spans="1:7" x14ac:dyDescent="0.25">
      <c r="A27" s="7" t="s">
        <v>113</v>
      </c>
      <c r="B27" s="19" t="s">
        <v>98</v>
      </c>
      <c r="C27" s="25">
        <v>7</v>
      </c>
      <c r="E27" s="7" t="s">
        <v>113</v>
      </c>
      <c r="F27" s="19" t="s">
        <v>141</v>
      </c>
      <c r="G27" s="25">
        <v>0</v>
      </c>
    </row>
    <row r="28" spans="1:7" x14ac:dyDescent="0.25">
      <c r="A28" s="29" t="s">
        <v>115</v>
      </c>
      <c r="B28" s="30" t="s">
        <v>99</v>
      </c>
      <c r="C28" s="31">
        <v>1</v>
      </c>
      <c r="E28" s="7" t="s">
        <v>113</v>
      </c>
      <c r="F28" s="19" t="s">
        <v>142</v>
      </c>
      <c r="G28" s="25">
        <v>20</v>
      </c>
    </row>
    <row r="29" spans="1:7" x14ac:dyDescent="0.25">
      <c r="A29" s="29" t="s">
        <v>116</v>
      </c>
      <c r="B29" s="30" t="s">
        <v>100</v>
      </c>
      <c r="C29" s="39">
        <v>2</v>
      </c>
      <c r="E29" s="7" t="s">
        <v>113</v>
      </c>
      <c r="F29" s="19" t="s">
        <v>143</v>
      </c>
      <c r="G29" s="24">
        <v>1</v>
      </c>
    </row>
    <row r="30" spans="1:7" x14ac:dyDescent="0.25">
      <c r="A30" s="29" t="s">
        <v>113</v>
      </c>
      <c r="B30" s="30" t="s">
        <v>101</v>
      </c>
      <c r="C30" s="31">
        <v>0</v>
      </c>
      <c r="E30" s="7" t="s">
        <v>113</v>
      </c>
      <c r="F30" s="19" t="s">
        <v>144</v>
      </c>
      <c r="G30" s="25">
        <v>20</v>
      </c>
    </row>
    <row r="31" spans="1:7" x14ac:dyDescent="0.25">
      <c r="A31" s="7" t="s">
        <v>113</v>
      </c>
      <c r="B31" s="19" t="s">
        <v>102</v>
      </c>
      <c r="C31" s="25">
        <v>3</v>
      </c>
      <c r="E31" s="7" t="s">
        <v>113</v>
      </c>
      <c r="F31" s="19" t="s">
        <v>145</v>
      </c>
      <c r="G31" s="25">
        <v>50</v>
      </c>
    </row>
    <row r="32" spans="1:7" x14ac:dyDescent="0.25">
      <c r="A32" s="7" t="s">
        <v>113</v>
      </c>
      <c r="B32" s="19" t="s">
        <v>103</v>
      </c>
      <c r="C32" s="25">
        <v>1</v>
      </c>
      <c r="E32" s="7" t="s">
        <v>113</v>
      </c>
      <c r="F32" s="19" t="s">
        <v>146</v>
      </c>
      <c r="G32" s="25">
        <v>32</v>
      </c>
    </row>
    <row r="33" spans="1:7" x14ac:dyDescent="0.25">
      <c r="A33" s="29" t="s">
        <v>113</v>
      </c>
      <c r="B33" s="30" t="s">
        <v>104</v>
      </c>
      <c r="C33" s="31">
        <v>0</v>
      </c>
      <c r="E33" s="7" t="s">
        <v>113</v>
      </c>
      <c r="F33" s="19" t="s">
        <v>147</v>
      </c>
      <c r="G33" s="25">
        <v>1841</v>
      </c>
    </row>
    <row r="34" spans="1:7" x14ac:dyDescent="0.25">
      <c r="A34" s="7" t="s">
        <v>113</v>
      </c>
      <c r="B34" s="19" t="s">
        <v>105</v>
      </c>
      <c r="C34" s="25">
        <v>0</v>
      </c>
      <c r="E34" s="7" t="s">
        <v>113</v>
      </c>
      <c r="F34" s="19" t="s">
        <v>148</v>
      </c>
      <c r="G34" s="25">
        <v>55</v>
      </c>
    </row>
    <row r="35" spans="1:7" x14ac:dyDescent="0.25">
      <c r="A35" s="7" t="s">
        <v>117</v>
      </c>
      <c r="B35" s="19" t="s">
        <v>106</v>
      </c>
      <c r="C35" s="25">
        <v>0</v>
      </c>
      <c r="E35" s="7" t="s">
        <v>150</v>
      </c>
      <c r="F35" s="19" t="s">
        <v>149</v>
      </c>
      <c r="G35" s="25">
        <v>3</v>
      </c>
    </row>
    <row r="36" spans="1:7" x14ac:dyDescent="0.25">
      <c r="A36" s="7" t="s">
        <v>117</v>
      </c>
      <c r="B36" s="19" t="s">
        <v>107</v>
      </c>
      <c r="C36" s="25">
        <v>0</v>
      </c>
      <c r="E36" s="29" t="s">
        <v>204</v>
      </c>
      <c r="F36" s="30" t="s">
        <v>205</v>
      </c>
      <c r="G36" s="31">
        <v>6</v>
      </c>
    </row>
    <row r="37" spans="1:7" x14ac:dyDescent="0.25">
      <c r="A37" s="29" t="s">
        <v>113</v>
      </c>
      <c r="B37" s="30" t="s">
        <v>108</v>
      </c>
      <c r="C37" s="31">
        <v>0</v>
      </c>
      <c r="E37" s="7" t="s">
        <v>150</v>
      </c>
      <c r="F37" s="19" t="s">
        <v>151</v>
      </c>
      <c r="G37" s="25">
        <v>12</v>
      </c>
    </row>
    <row r="38" spans="1:7" x14ac:dyDescent="0.25">
      <c r="A38" s="7" t="s">
        <v>113</v>
      </c>
      <c r="B38" s="19" t="s">
        <v>109</v>
      </c>
      <c r="C38" s="25">
        <v>17</v>
      </c>
      <c r="E38" s="7" t="s">
        <v>113</v>
      </c>
      <c r="F38" s="19" t="s">
        <v>152</v>
      </c>
      <c r="G38" s="25">
        <v>4</v>
      </c>
    </row>
    <row r="39" spans="1:7" x14ac:dyDescent="0.25">
      <c r="A39" s="7" t="s">
        <v>113</v>
      </c>
      <c r="B39" s="19" t="s">
        <v>110</v>
      </c>
      <c r="C39" s="25">
        <v>2</v>
      </c>
      <c r="E39" s="7" t="s">
        <v>150</v>
      </c>
      <c r="F39" s="19" t="s">
        <v>153</v>
      </c>
      <c r="G39" s="25">
        <v>4</v>
      </c>
    </row>
    <row r="40" spans="1:7" x14ac:dyDescent="0.25">
      <c r="A40" s="7" t="s">
        <v>113</v>
      </c>
      <c r="B40" s="19" t="s">
        <v>111</v>
      </c>
      <c r="C40" s="25">
        <v>7</v>
      </c>
      <c r="E40" s="7" t="s">
        <v>150</v>
      </c>
      <c r="F40" s="19" t="s">
        <v>154</v>
      </c>
      <c r="G40" s="25">
        <v>11</v>
      </c>
    </row>
    <row r="41" spans="1:7" x14ac:dyDescent="0.25">
      <c r="A41" s="29" t="s">
        <v>118</v>
      </c>
      <c r="B41" s="30" t="s">
        <v>112</v>
      </c>
      <c r="C41" s="31">
        <v>1</v>
      </c>
      <c r="E41" s="7" t="s">
        <v>150</v>
      </c>
      <c r="F41" s="19" t="s">
        <v>155</v>
      </c>
      <c r="G41" s="25">
        <v>4</v>
      </c>
    </row>
    <row r="42" spans="1:7" x14ac:dyDescent="0.25">
      <c r="A42" s="7" t="s">
        <v>113</v>
      </c>
      <c r="B42" s="19" t="s">
        <v>203</v>
      </c>
      <c r="C42" s="25">
        <v>7</v>
      </c>
      <c r="E42" s="7" t="s">
        <v>150</v>
      </c>
      <c r="F42" s="19" t="s">
        <v>156</v>
      </c>
      <c r="G42" s="25">
        <v>0</v>
      </c>
    </row>
    <row r="43" spans="1:7" x14ac:dyDescent="0.25">
      <c r="A43" s="7" t="s">
        <v>113</v>
      </c>
      <c r="B43" s="19" t="s">
        <v>119</v>
      </c>
      <c r="C43" s="25">
        <v>0</v>
      </c>
      <c r="E43" s="7" t="s">
        <v>113</v>
      </c>
      <c r="F43" s="19" t="s">
        <v>157</v>
      </c>
      <c r="G43" s="25">
        <v>0</v>
      </c>
    </row>
    <row r="44" spans="1:7" x14ac:dyDescent="0.25">
      <c r="A44" s="7" t="s">
        <v>113</v>
      </c>
      <c r="B44" s="19" t="s">
        <v>120</v>
      </c>
      <c r="C44" s="25">
        <v>1</v>
      </c>
      <c r="E44" s="29" t="s">
        <v>113</v>
      </c>
      <c r="F44" s="30" t="s">
        <v>158</v>
      </c>
      <c r="G44" s="31">
        <v>0</v>
      </c>
    </row>
    <row r="45" spans="1:7" x14ac:dyDescent="0.25">
      <c r="A45" s="29" t="s">
        <v>113</v>
      </c>
      <c r="B45" s="30" t="s">
        <v>121</v>
      </c>
      <c r="C45" s="31">
        <v>9</v>
      </c>
      <c r="E45" s="29" t="s">
        <v>113</v>
      </c>
      <c r="F45" s="30" t="s">
        <v>159</v>
      </c>
      <c r="G45" s="31">
        <v>0</v>
      </c>
    </row>
    <row r="46" spans="1:7" x14ac:dyDescent="0.25">
      <c r="E46" s="5"/>
      <c r="F46" s="23"/>
      <c r="G46" s="5"/>
    </row>
    <row r="47" spans="1:7" x14ac:dyDescent="0.25">
      <c r="E47" s="5"/>
      <c r="F47" s="23"/>
      <c r="G47" s="5"/>
    </row>
    <row r="51" spans="1:7" ht="18.75" x14ac:dyDescent="0.3">
      <c r="B51" s="262" t="s">
        <v>264</v>
      </c>
      <c r="C51" s="262"/>
      <c r="D51" s="262"/>
      <c r="E51" s="262"/>
      <c r="F51" s="262"/>
      <c r="G51" s="18"/>
    </row>
    <row r="52" spans="1:7" x14ac:dyDescent="0.25">
      <c r="G52" s="6"/>
    </row>
    <row r="53" spans="1:7" x14ac:dyDescent="0.25">
      <c r="A53" s="20" t="s">
        <v>80</v>
      </c>
      <c r="B53" s="22" t="s">
        <v>0</v>
      </c>
      <c r="C53" s="20" t="s">
        <v>77</v>
      </c>
      <c r="E53" s="20" t="s">
        <v>80</v>
      </c>
      <c r="F53" s="22" t="s">
        <v>0</v>
      </c>
      <c r="G53" s="20" t="s">
        <v>77</v>
      </c>
    </row>
    <row r="54" spans="1:7" x14ac:dyDescent="0.25">
      <c r="A54" s="7" t="s">
        <v>113</v>
      </c>
      <c r="B54" s="19" t="s">
        <v>288</v>
      </c>
      <c r="C54" s="25">
        <v>10</v>
      </c>
      <c r="E54" s="29" t="s">
        <v>185</v>
      </c>
      <c r="F54" s="30" t="s">
        <v>193</v>
      </c>
      <c r="G54" s="31">
        <v>93</v>
      </c>
    </row>
    <row r="55" spans="1:7" x14ac:dyDescent="0.25">
      <c r="A55" s="7" t="s">
        <v>113</v>
      </c>
      <c r="B55" s="19" t="s">
        <v>160</v>
      </c>
      <c r="C55" s="25">
        <v>2312</v>
      </c>
      <c r="E55" s="29" t="s">
        <v>113</v>
      </c>
      <c r="F55" s="30" t="s">
        <v>194</v>
      </c>
      <c r="G55" s="31">
        <v>4</v>
      </c>
    </row>
    <row r="56" spans="1:7" x14ac:dyDescent="0.25">
      <c r="A56" s="7" t="s">
        <v>113</v>
      </c>
      <c r="B56" s="19" t="s">
        <v>161</v>
      </c>
      <c r="C56" s="25">
        <v>4</v>
      </c>
      <c r="E56" s="29" t="s">
        <v>150</v>
      </c>
      <c r="F56" s="30" t="s">
        <v>207</v>
      </c>
      <c r="G56" s="31">
        <v>1</v>
      </c>
    </row>
    <row r="57" spans="1:7" x14ac:dyDescent="0.25">
      <c r="A57" s="7" t="s">
        <v>113</v>
      </c>
      <c r="B57" s="19" t="s">
        <v>162</v>
      </c>
      <c r="C57" s="26">
        <v>0</v>
      </c>
      <c r="E57" s="29" t="s">
        <v>150</v>
      </c>
      <c r="F57" s="30" t="s">
        <v>208</v>
      </c>
      <c r="G57" s="31">
        <v>0</v>
      </c>
    </row>
    <row r="58" spans="1:7" x14ac:dyDescent="0.25">
      <c r="A58" s="7" t="s">
        <v>113</v>
      </c>
      <c r="B58" s="19" t="s">
        <v>163</v>
      </c>
      <c r="C58" s="26">
        <v>82</v>
      </c>
      <c r="E58" s="29" t="s">
        <v>150</v>
      </c>
      <c r="F58" s="30" t="s">
        <v>209</v>
      </c>
      <c r="G58" s="31">
        <v>2</v>
      </c>
    </row>
    <row r="59" spans="1:7" x14ac:dyDescent="0.25">
      <c r="A59" s="7" t="s">
        <v>113</v>
      </c>
      <c r="B59" s="19" t="s">
        <v>164</v>
      </c>
      <c r="C59" s="25">
        <v>0</v>
      </c>
      <c r="E59" s="36" t="s">
        <v>113</v>
      </c>
      <c r="F59" s="37" t="s">
        <v>210</v>
      </c>
      <c r="G59" s="38">
        <v>0</v>
      </c>
    </row>
    <row r="60" spans="1:7" x14ac:dyDescent="0.25">
      <c r="A60" s="7" t="s">
        <v>113</v>
      </c>
      <c r="B60" s="19" t="s">
        <v>165</v>
      </c>
      <c r="C60" s="25">
        <v>0</v>
      </c>
      <c r="E60" s="36" t="s">
        <v>113</v>
      </c>
      <c r="F60" s="37" t="s">
        <v>211</v>
      </c>
      <c r="G60" s="38">
        <v>0</v>
      </c>
    </row>
    <row r="61" spans="1:7" x14ac:dyDescent="0.25">
      <c r="A61" s="7" t="s">
        <v>113</v>
      </c>
      <c r="B61" s="19" t="s">
        <v>166</v>
      </c>
      <c r="C61" s="25">
        <v>0</v>
      </c>
      <c r="E61" s="7" t="s">
        <v>113</v>
      </c>
      <c r="F61" s="19" t="s">
        <v>312</v>
      </c>
      <c r="G61" s="25">
        <v>10</v>
      </c>
    </row>
    <row r="62" spans="1:7" x14ac:dyDescent="0.25">
      <c r="A62" s="7" t="s">
        <v>113</v>
      </c>
      <c r="B62" s="19" t="s">
        <v>167</v>
      </c>
      <c r="C62" s="25">
        <v>38</v>
      </c>
      <c r="E62" s="7" t="s">
        <v>113</v>
      </c>
      <c r="F62" s="19" t="s">
        <v>213</v>
      </c>
      <c r="G62" s="25">
        <v>2</v>
      </c>
    </row>
    <row r="63" spans="1:7" x14ac:dyDescent="0.25">
      <c r="A63" s="7" t="s">
        <v>113</v>
      </c>
      <c r="B63" s="19" t="s">
        <v>168</v>
      </c>
      <c r="C63" s="25">
        <v>0</v>
      </c>
      <c r="E63" s="7" t="s">
        <v>113</v>
      </c>
      <c r="F63" s="19" t="s">
        <v>214</v>
      </c>
      <c r="G63" s="25">
        <v>2</v>
      </c>
    </row>
    <row r="64" spans="1:7" x14ac:dyDescent="0.25">
      <c r="A64" s="7" t="s">
        <v>113</v>
      </c>
      <c r="B64" s="19" t="s">
        <v>169</v>
      </c>
      <c r="C64" s="25">
        <v>3</v>
      </c>
      <c r="E64" s="7" t="s">
        <v>113</v>
      </c>
      <c r="F64" s="19" t="s">
        <v>215</v>
      </c>
      <c r="G64" s="25">
        <v>1</v>
      </c>
    </row>
    <row r="65" spans="1:7" x14ac:dyDescent="0.25">
      <c r="A65" s="7" t="s">
        <v>113</v>
      </c>
      <c r="B65" s="19" t="s">
        <v>170</v>
      </c>
      <c r="C65" s="25">
        <v>116</v>
      </c>
      <c r="E65" s="7" t="s">
        <v>113</v>
      </c>
      <c r="F65" s="19" t="s">
        <v>216</v>
      </c>
      <c r="G65" s="25">
        <v>200</v>
      </c>
    </row>
    <row r="66" spans="1:7" x14ac:dyDescent="0.25">
      <c r="A66" s="7" t="s">
        <v>113</v>
      </c>
      <c r="B66" s="19" t="s">
        <v>171</v>
      </c>
      <c r="C66" s="25">
        <v>10</v>
      </c>
      <c r="E66" s="7" t="s">
        <v>113</v>
      </c>
      <c r="F66" s="19" t="s">
        <v>265</v>
      </c>
      <c r="G66" s="25">
        <v>5</v>
      </c>
    </row>
    <row r="67" spans="1:7" x14ac:dyDescent="0.25">
      <c r="A67" s="7" t="s">
        <v>113</v>
      </c>
      <c r="B67" s="19" t="s">
        <v>172</v>
      </c>
      <c r="C67" s="25">
        <v>3</v>
      </c>
      <c r="E67" s="7" t="s">
        <v>113</v>
      </c>
      <c r="F67" s="19" t="s">
        <v>217</v>
      </c>
      <c r="G67" s="25">
        <v>1</v>
      </c>
    </row>
    <row r="68" spans="1:7" x14ac:dyDescent="0.25">
      <c r="A68" s="7" t="s">
        <v>113</v>
      </c>
      <c r="B68" s="19" t="s">
        <v>303</v>
      </c>
      <c r="C68" s="25">
        <v>3</v>
      </c>
      <c r="E68" s="7" t="s">
        <v>113</v>
      </c>
      <c r="F68" s="19" t="s">
        <v>218</v>
      </c>
      <c r="G68" s="25">
        <v>0</v>
      </c>
    </row>
    <row r="69" spans="1:7" x14ac:dyDescent="0.25">
      <c r="A69" s="29" t="s">
        <v>113</v>
      </c>
      <c r="B69" s="30" t="s">
        <v>173</v>
      </c>
      <c r="C69" s="31">
        <v>0</v>
      </c>
      <c r="E69" s="7" t="s">
        <v>113</v>
      </c>
      <c r="F69" s="19" t="s">
        <v>219</v>
      </c>
      <c r="G69" s="25">
        <v>2</v>
      </c>
    </row>
    <row r="70" spans="1:7" x14ac:dyDescent="0.25">
      <c r="A70" s="7" t="s">
        <v>113</v>
      </c>
      <c r="B70" s="19" t="s">
        <v>174</v>
      </c>
      <c r="C70" s="25">
        <v>1</v>
      </c>
      <c r="E70" s="7" t="s">
        <v>113</v>
      </c>
      <c r="F70" s="19" t="s">
        <v>220</v>
      </c>
      <c r="G70" s="25">
        <v>1</v>
      </c>
    </row>
    <row r="71" spans="1:7" x14ac:dyDescent="0.25">
      <c r="A71" s="7" t="s">
        <v>113</v>
      </c>
      <c r="B71" s="19" t="s">
        <v>175</v>
      </c>
      <c r="C71" s="25">
        <v>1</v>
      </c>
      <c r="E71" s="7" t="s">
        <v>113</v>
      </c>
      <c r="F71" s="19" t="s">
        <v>221</v>
      </c>
      <c r="G71" s="25">
        <v>1</v>
      </c>
    </row>
    <row r="72" spans="1:7" x14ac:dyDescent="0.25">
      <c r="A72" s="7" t="s">
        <v>113</v>
      </c>
      <c r="B72" s="19" t="s">
        <v>176</v>
      </c>
      <c r="C72" s="25">
        <v>2</v>
      </c>
      <c r="E72" s="7" t="s">
        <v>113</v>
      </c>
      <c r="F72" s="19" t="s">
        <v>222</v>
      </c>
      <c r="G72" s="25">
        <v>2</v>
      </c>
    </row>
    <row r="73" spans="1:7" x14ac:dyDescent="0.25">
      <c r="A73" s="7" t="s">
        <v>131</v>
      </c>
      <c r="B73" s="19" t="s">
        <v>177</v>
      </c>
      <c r="C73" s="25">
        <v>1</v>
      </c>
      <c r="E73" s="7" t="s">
        <v>113</v>
      </c>
      <c r="F73" s="19" t="s">
        <v>223</v>
      </c>
      <c r="G73" s="25">
        <v>0</v>
      </c>
    </row>
    <row r="74" spans="1:7" x14ac:dyDescent="0.25">
      <c r="A74" s="7" t="s">
        <v>115</v>
      </c>
      <c r="B74" s="19" t="s">
        <v>178</v>
      </c>
      <c r="C74" s="24">
        <v>1</v>
      </c>
      <c r="E74" s="7" t="s">
        <v>113</v>
      </c>
      <c r="F74" s="19" t="s">
        <v>282</v>
      </c>
      <c r="G74" s="25">
        <v>0</v>
      </c>
    </row>
    <row r="75" spans="1:7" x14ac:dyDescent="0.25">
      <c r="A75" s="7" t="s">
        <v>113</v>
      </c>
      <c r="B75" s="19" t="s">
        <v>179</v>
      </c>
      <c r="C75" s="25">
        <v>60</v>
      </c>
      <c r="E75" s="7" t="s">
        <v>113</v>
      </c>
      <c r="F75" s="19" t="s">
        <v>224</v>
      </c>
      <c r="G75" s="25">
        <v>4</v>
      </c>
    </row>
    <row r="76" spans="1:7" x14ac:dyDescent="0.25">
      <c r="A76" s="29" t="s">
        <v>185</v>
      </c>
      <c r="B76" s="30" t="s">
        <v>206</v>
      </c>
      <c r="C76" s="39">
        <v>1</v>
      </c>
      <c r="E76" s="7" t="s">
        <v>113</v>
      </c>
      <c r="F76" s="19" t="s">
        <v>225</v>
      </c>
      <c r="G76" s="25">
        <v>1</v>
      </c>
    </row>
    <row r="77" spans="1:7" x14ac:dyDescent="0.25">
      <c r="A77" s="7" t="s">
        <v>113</v>
      </c>
      <c r="B77" s="19" t="s">
        <v>180</v>
      </c>
      <c r="C77" s="25">
        <v>7</v>
      </c>
      <c r="E77" s="7" t="s">
        <v>113</v>
      </c>
      <c r="F77" s="19" t="s">
        <v>226</v>
      </c>
      <c r="G77" s="25">
        <v>25</v>
      </c>
    </row>
    <row r="78" spans="1:7" x14ac:dyDescent="0.25">
      <c r="A78" s="7" t="s">
        <v>113</v>
      </c>
      <c r="B78" s="19" t="s">
        <v>181</v>
      </c>
      <c r="C78" s="25">
        <v>8</v>
      </c>
      <c r="E78" s="7" t="s">
        <v>185</v>
      </c>
      <c r="F78" s="19" t="s">
        <v>227</v>
      </c>
      <c r="G78" s="25">
        <v>10</v>
      </c>
    </row>
    <row r="79" spans="1:7" x14ac:dyDescent="0.25">
      <c r="A79" s="7" t="s">
        <v>185</v>
      </c>
      <c r="B79" s="19" t="s">
        <v>212</v>
      </c>
      <c r="C79" s="24">
        <v>2.5</v>
      </c>
      <c r="E79" s="7" t="s">
        <v>113</v>
      </c>
      <c r="F79" s="19" t="s">
        <v>228</v>
      </c>
      <c r="G79" s="25">
        <v>0</v>
      </c>
    </row>
    <row r="80" spans="1:7" x14ac:dyDescent="0.25">
      <c r="A80" s="7" t="s">
        <v>113</v>
      </c>
      <c r="B80" s="19" t="s">
        <v>182</v>
      </c>
      <c r="C80" s="25">
        <v>8</v>
      </c>
      <c r="E80" s="7" t="s">
        <v>113</v>
      </c>
      <c r="F80" s="19" t="s">
        <v>229</v>
      </c>
      <c r="G80" s="25">
        <v>0</v>
      </c>
    </row>
    <row r="81" spans="1:7" x14ac:dyDescent="0.25">
      <c r="A81" s="7" t="s">
        <v>113</v>
      </c>
      <c r="B81" s="19" t="s">
        <v>183</v>
      </c>
      <c r="C81" s="25">
        <v>0</v>
      </c>
      <c r="E81" s="7" t="s">
        <v>237</v>
      </c>
      <c r="F81" s="19" t="s">
        <v>230</v>
      </c>
      <c r="G81" s="25">
        <v>0</v>
      </c>
    </row>
    <row r="82" spans="1:7" x14ac:dyDescent="0.25">
      <c r="A82" s="7" t="s">
        <v>115</v>
      </c>
      <c r="B82" s="19" t="s">
        <v>184</v>
      </c>
      <c r="C82" s="25">
        <v>0</v>
      </c>
      <c r="E82" s="7" t="s">
        <v>113</v>
      </c>
      <c r="F82" s="19" t="s">
        <v>231</v>
      </c>
      <c r="G82" s="25">
        <v>0</v>
      </c>
    </row>
    <row r="83" spans="1:7" x14ac:dyDescent="0.25">
      <c r="A83" s="29" t="s">
        <v>113</v>
      </c>
      <c r="B83" s="30" t="s">
        <v>199</v>
      </c>
      <c r="C83" s="31">
        <v>285</v>
      </c>
      <c r="E83" s="7" t="s">
        <v>113</v>
      </c>
      <c r="F83" s="19" t="s">
        <v>232</v>
      </c>
      <c r="G83" s="25">
        <v>9</v>
      </c>
    </row>
    <row r="84" spans="1:7" x14ac:dyDescent="0.25">
      <c r="A84" s="7" t="s">
        <v>185</v>
      </c>
      <c r="B84" s="19" t="s">
        <v>186</v>
      </c>
      <c r="C84" s="25">
        <v>0</v>
      </c>
      <c r="D84" s="27"/>
      <c r="E84" s="7" t="s">
        <v>113</v>
      </c>
      <c r="F84" s="19" t="s">
        <v>233</v>
      </c>
      <c r="G84" s="25">
        <v>120</v>
      </c>
    </row>
    <row r="85" spans="1:7" x14ac:dyDescent="0.25">
      <c r="A85" s="7" t="s">
        <v>185</v>
      </c>
      <c r="B85" s="19" t="s">
        <v>187</v>
      </c>
      <c r="C85" s="25">
        <v>40</v>
      </c>
      <c r="E85" s="7" t="s">
        <v>113</v>
      </c>
      <c r="F85" s="19" t="s">
        <v>234</v>
      </c>
      <c r="G85" s="25">
        <v>1</v>
      </c>
    </row>
    <row r="86" spans="1:7" x14ac:dyDescent="0.25">
      <c r="A86" s="7" t="s">
        <v>185</v>
      </c>
      <c r="B86" s="19" t="s">
        <v>188</v>
      </c>
      <c r="C86" s="25">
        <v>40</v>
      </c>
      <c r="E86" s="7" t="s">
        <v>113</v>
      </c>
      <c r="F86" s="19" t="s">
        <v>235</v>
      </c>
      <c r="G86" s="25">
        <v>0</v>
      </c>
    </row>
    <row r="87" spans="1:7" x14ac:dyDescent="0.25">
      <c r="A87" s="7" t="s">
        <v>185</v>
      </c>
      <c r="B87" s="19" t="s">
        <v>189</v>
      </c>
      <c r="C87" s="25">
        <v>15</v>
      </c>
      <c r="E87" s="7" t="s">
        <v>113</v>
      </c>
      <c r="F87" s="19" t="s">
        <v>236</v>
      </c>
      <c r="G87" s="25">
        <v>5</v>
      </c>
    </row>
    <row r="88" spans="1:7" x14ac:dyDescent="0.25">
      <c r="A88" s="7" t="s">
        <v>185</v>
      </c>
      <c r="B88" s="19" t="s">
        <v>190</v>
      </c>
      <c r="C88" s="25">
        <v>40</v>
      </c>
      <c r="E88" s="7" t="s">
        <v>113</v>
      </c>
      <c r="F88" s="19" t="s">
        <v>238</v>
      </c>
      <c r="G88" s="25">
        <v>2</v>
      </c>
    </row>
    <row r="89" spans="1:7" x14ac:dyDescent="0.25">
      <c r="A89" s="7" t="s">
        <v>185</v>
      </c>
      <c r="B89" s="19" t="s">
        <v>191</v>
      </c>
      <c r="C89" s="25">
        <v>25</v>
      </c>
      <c r="E89" s="7" t="s">
        <v>113</v>
      </c>
      <c r="F89" s="19" t="s">
        <v>239</v>
      </c>
      <c r="G89" s="25">
        <v>3</v>
      </c>
    </row>
    <row r="90" spans="1:7" x14ac:dyDescent="0.25">
      <c r="A90" s="7" t="s">
        <v>185</v>
      </c>
      <c r="B90" s="19" t="s">
        <v>192</v>
      </c>
      <c r="C90" s="25">
        <v>0</v>
      </c>
      <c r="E90" s="7" t="s">
        <v>113</v>
      </c>
      <c r="F90" s="19" t="s">
        <v>240</v>
      </c>
      <c r="G90" s="25">
        <v>0</v>
      </c>
    </row>
    <row r="96" spans="1:7" ht="18.75" x14ac:dyDescent="0.3">
      <c r="B96" s="262" t="s">
        <v>263</v>
      </c>
      <c r="C96" s="262"/>
      <c r="D96" s="262"/>
      <c r="E96" s="262"/>
      <c r="F96" s="262"/>
      <c r="G96" s="18"/>
    </row>
    <row r="97" spans="1:7" x14ac:dyDescent="0.25">
      <c r="G97" s="6"/>
    </row>
    <row r="98" spans="1:7" x14ac:dyDescent="0.25">
      <c r="A98" s="20" t="s">
        <v>80</v>
      </c>
      <c r="B98" s="22" t="s">
        <v>0</v>
      </c>
      <c r="C98" s="20" t="s">
        <v>77</v>
      </c>
      <c r="E98" s="20" t="s">
        <v>80</v>
      </c>
      <c r="F98" s="22" t="s">
        <v>0</v>
      </c>
      <c r="G98" s="20" t="s">
        <v>77</v>
      </c>
    </row>
    <row r="99" spans="1:7" x14ac:dyDescent="0.25">
      <c r="A99" s="7" t="s">
        <v>113</v>
      </c>
      <c r="B99" s="19" t="s">
        <v>241</v>
      </c>
      <c r="C99" s="25">
        <v>1</v>
      </c>
      <c r="E99" s="7"/>
      <c r="F99" s="19"/>
      <c r="G99" s="25"/>
    </row>
    <row r="100" spans="1:7" x14ac:dyDescent="0.25">
      <c r="A100" s="7" t="s">
        <v>113</v>
      </c>
      <c r="B100" s="19" t="s">
        <v>311</v>
      </c>
      <c r="C100" s="25">
        <v>2</v>
      </c>
      <c r="E100" s="7"/>
      <c r="F100" s="19"/>
      <c r="G100" s="25"/>
    </row>
    <row r="101" spans="1:7" x14ac:dyDescent="0.25">
      <c r="A101" s="7" t="s">
        <v>113</v>
      </c>
      <c r="B101" s="19" t="s">
        <v>245</v>
      </c>
      <c r="C101" s="25">
        <v>0</v>
      </c>
      <c r="E101" s="7"/>
      <c r="F101" s="19"/>
      <c r="G101" s="25"/>
    </row>
    <row r="102" spans="1:7" x14ac:dyDescent="0.25">
      <c r="A102" s="7" t="s">
        <v>113</v>
      </c>
      <c r="B102" s="19" t="s">
        <v>246</v>
      </c>
      <c r="C102" s="26">
        <v>0</v>
      </c>
      <c r="E102" s="7"/>
      <c r="F102" s="19"/>
      <c r="G102" s="26"/>
    </row>
    <row r="103" spans="1:7" x14ac:dyDescent="0.25">
      <c r="A103" s="7" t="s">
        <v>113</v>
      </c>
      <c r="B103" s="19" t="s">
        <v>247</v>
      </c>
      <c r="C103" s="26">
        <v>0</v>
      </c>
      <c r="E103" s="7"/>
      <c r="F103" s="19"/>
      <c r="G103" s="26"/>
    </row>
    <row r="104" spans="1:7" x14ac:dyDescent="0.25">
      <c r="A104" s="29" t="s">
        <v>113</v>
      </c>
      <c r="B104" s="30" t="s">
        <v>248</v>
      </c>
      <c r="C104" s="31">
        <v>5</v>
      </c>
      <c r="E104" s="7"/>
      <c r="F104" s="19"/>
      <c r="G104" s="25"/>
    </row>
    <row r="105" spans="1:7" x14ac:dyDescent="0.25">
      <c r="A105" s="7" t="s">
        <v>113</v>
      </c>
      <c r="B105" s="19" t="s">
        <v>266</v>
      </c>
      <c r="C105" s="25">
        <v>0</v>
      </c>
      <c r="E105" s="7"/>
      <c r="F105" s="19"/>
      <c r="G105" s="25"/>
    </row>
    <row r="106" spans="1:7" x14ac:dyDescent="0.25">
      <c r="A106" s="7" t="s">
        <v>113</v>
      </c>
      <c r="B106" s="19" t="s">
        <v>267</v>
      </c>
      <c r="C106" s="25">
        <v>0</v>
      </c>
      <c r="E106" s="7"/>
      <c r="F106" s="19"/>
      <c r="G106" s="25"/>
    </row>
    <row r="107" spans="1:7" x14ac:dyDescent="0.25">
      <c r="A107" s="7" t="s">
        <v>113</v>
      </c>
      <c r="B107" s="19" t="s">
        <v>268</v>
      </c>
      <c r="C107" s="25">
        <v>0</v>
      </c>
      <c r="E107" s="7"/>
      <c r="F107" s="19"/>
      <c r="G107" s="25"/>
    </row>
    <row r="108" spans="1:7" x14ac:dyDescent="0.25">
      <c r="A108" s="7" t="s">
        <v>113</v>
      </c>
      <c r="B108" s="19" t="s">
        <v>281</v>
      </c>
      <c r="C108" s="25">
        <v>2</v>
      </c>
      <c r="E108" s="7"/>
      <c r="F108" s="19"/>
      <c r="G108" s="25"/>
    </row>
    <row r="109" spans="1:7" x14ac:dyDescent="0.25">
      <c r="A109" s="7" t="s">
        <v>237</v>
      </c>
      <c r="B109" s="19" t="s">
        <v>270</v>
      </c>
      <c r="C109" s="24">
        <v>20</v>
      </c>
      <c r="E109" s="7"/>
      <c r="F109" s="19"/>
      <c r="G109" s="25"/>
    </row>
    <row r="110" spans="1:7" x14ac:dyDescent="0.25">
      <c r="A110" s="7" t="s">
        <v>113</v>
      </c>
      <c r="B110" s="19" t="s">
        <v>271</v>
      </c>
      <c r="C110" s="25">
        <v>2</v>
      </c>
      <c r="E110" s="7"/>
      <c r="F110" s="19"/>
      <c r="G110" s="25"/>
    </row>
    <row r="111" spans="1:7" x14ac:dyDescent="0.25">
      <c r="A111" s="7" t="s">
        <v>113</v>
      </c>
      <c r="B111" s="19" t="s">
        <v>272</v>
      </c>
      <c r="C111" s="25">
        <v>3</v>
      </c>
      <c r="E111" s="7"/>
      <c r="F111" s="19"/>
      <c r="G111" s="25"/>
    </row>
    <row r="112" spans="1:7" x14ac:dyDescent="0.25">
      <c r="A112" s="7" t="s">
        <v>113</v>
      </c>
      <c r="B112" s="19" t="s">
        <v>273</v>
      </c>
      <c r="C112" s="25">
        <v>2</v>
      </c>
      <c r="E112" s="7"/>
      <c r="F112" s="19"/>
      <c r="G112" s="25"/>
    </row>
    <row r="113" spans="1:7" x14ac:dyDescent="0.25">
      <c r="A113" s="7" t="s">
        <v>113</v>
      </c>
      <c r="B113" s="19" t="s">
        <v>90</v>
      </c>
      <c r="C113" s="25">
        <v>4</v>
      </c>
      <c r="E113" s="7"/>
      <c r="F113" s="19"/>
      <c r="G113" s="25"/>
    </row>
    <row r="114" spans="1:7" x14ac:dyDescent="0.25">
      <c r="A114" s="7" t="s">
        <v>113</v>
      </c>
      <c r="B114" s="19" t="s">
        <v>91</v>
      </c>
      <c r="C114" s="25">
        <v>1</v>
      </c>
      <c r="E114" s="7"/>
      <c r="F114" s="19"/>
      <c r="G114" s="25"/>
    </row>
    <row r="115" spans="1:7" x14ac:dyDescent="0.25">
      <c r="A115" s="7" t="s">
        <v>113</v>
      </c>
      <c r="B115" s="19" t="s">
        <v>92</v>
      </c>
      <c r="C115" s="25">
        <v>3</v>
      </c>
      <c r="E115" s="7"/>
      <c r="F115" s="19"/>
      <c r="G115" s="25"/>
    </row>
    <row r="116" spans="1:7" x14ac:dyDescent="0.25">
      <c r="A116" s="7" t="s">
        <v>237</v>
      </c>
      <c r="B116" s="19" t="s">
        <v>309</v>
      </c>
      <c r="C116" s="24">
        <v>20</v>
      </c>
      <c r="E116" s="7"/>
      <c r="F116" s="19"/>
      <c r="G116" s="25"/>
    </row>
    <row r="117" spans="1:7" x14ac:dyDescent="0.25">
      <c r="A117" s="7" t="s">
        <v>113</v>
      </c>
      <c r="B117" s="19" t="s">
        <v>315</v>
      </c>
      <c r="C117" s="25">
        <v>1</v>
      </c>
      <c r="E117" s="7"/>
      <c r="F117" s="19"/>
      <c r="G117" s="25"/>
    </row>
    <row r="118" spans="1:7" x14ac:dyDescent="0.25">
      <c r="A118" s="7" t="s">
        <v>113</v>
      </c>
      <c r="B118" s="19" t="s">
        <v>316</v>
      </c>
      <c r="C118" s="25">
        <v>1</v>
      </c>
      <c r="E118" s="7"/>
      <c r="F118" s="19"/>
      <c r="G118" s="25"/>
    </row>
    <row r="119" spans="1:7" x14ac:dyDescent="0.25">
      <c r="A119" s="7"/>
      <c r="B119" s="19"/>
      <c r="C119" s="24"/>
      <c r="E119" s="7"/>
      <c r="F119" s="19"/>
      <c r="G119" s="24"/>
    </row>
    <row r="120" spans="1:7" x14ac:dyDescent="0.25">
      <c r="A120" s="7"/>
      <c r="B120" s="19"/>
      <c r="C120" s="25"/>
      <c r="E120" s="7"/>
      <c r="F120" s="19"/>
      <c r="G120" s="25"/>
    </row>
    <row r="121" spans="1:7" x14ac:dyDescent="0.25">
      <c r="A121" s="7"/>
      <c r="B121" s="19"/>
      <c r="C121" s="25"/>
      <c r="E121" s="7"/>
      <c r="F121" s="19"/>
      <c r="G121" s="25"/>
    </row>
    <row r="122" spans="1:7" x14ac:dyDescent="0.25">
      <c r="A122" s="7"/>
      <c r="B122" s="19"/>
      <c r="C122" s="25"/>
      <c r="E122" s="7"/>
      <c r="F122" s="19"/>
      <c r="G122" s="25"/>
    </row>
    <row r="123" spans="1:7" x14ac:dyDescent="0.25">
      <c r="A123" s="7"/>
      <c r="B123" s="19"/>
      <c r="C123" s="25"/>
      <c r="E123" s="7"/>
      <c r="F123" s="19"/>
      <c r="G123" s="25"/>
    </row>
    <row r="124" spans="1:7" x14ac:dyDescent="0.25">
      <c r="A124" s="7"/>
      <c r="B124" s="19"/>
      <c r="C124" s="25"/>
      <c r="E124" s="7"/>
      <c r="F124" s="19"/>
      <c r="G124" s="25"/>
    </row>
    <row r="125" spans="1:7" x14ac:dyDescent="0.25">
      <c r="A125" s="7"/>
      <c r="B125" s="19"/>
      <c r="C125" s="25"/>
      <c r="E125" s="7"/>
      <c r="F125" s="19"/>
      <c r="G125" s="25"/>
    </row>
    <row r="126" spans="1:7" x14ac:dyDescent="0.25">
      <c r="A126" s="7"/>
      <c r="B126" s="19"/>
      <c r="C126" s="25"/>
      <c r="E126" s="7"/>
      <c r="F126" s="19"/>
      <c r="G126" s="25"/>
    </row>
    <row r="127" spans="1:7" x14ac:dyDescent="0.25">
      <c r="A127" s="7"/>
      <c r="B127" s="19"/>
      <c r="C127" s="25"/>
      <c r="E127" s="7"/>
      <c r="F127" s="19"/>
      <c r="G127" s="25"/>
    </row>
    <row r="128" spans="1:7" x14ac:dyDescent="0.25">
      <c r="A128" s="7"/>
      <c r="B128" s="19"/>
      <c r="C128" s="25"/>
      <c r="E128" s="7"/>
      <c r="F128" s="19"/>
      <c r="G128" s="25"/>
    </row>
    <row r="129" spans="1:7" x14ac:dyDescent="0.25">
      <c r="A129" s="7"/>
      <c r="B129" s="19"/>
      <c r="C129" s="25"/>
      <c r="D129" s="27"/>
      <c r="E129" s="7"/>
      <c r="F129" s="19"/>
      <c r="G129" s="25"/>
    </row>
    <row r="130" spans="1:7" x14ac:dyDescent="0.25">
      <c r="A130" s="7"/>
      <c r="B130" s="19"/>
      <c r="C130" s="25"/>
      <c r="E130" s="7"/>
      <c r="F130" s="19"/>
      <c r="G130" s="25"/>
    </row>
    <row r="131" spans="1:7" x14ac:dyDescent="0.25">
      <c r="A131" s="7"/>
      <c r="B131" s="19"/>
      <c r="C131" s="25"/>
      <c r="E131" s="7"/>
      <c r="F131" s="19"/>
      <c r="G131" s="25"/>
    </row>
    <row r="132" spans="1:7" x14ac:dyDescent="0.25">
      <c r="A132" s="7"/>
      <c r="B132" s="19"/>
      <c r="C132" s="25"/>
      <c r="E132" s="7"/>
      <c r="F132" s="19"/>
      <c r="G132" s="25"/>
    </row>
    <row r="133" spans="1:7" x14ac:dyDescent="0.25">
      <c r="A133" s="7"/>
      <c r="B133" s="19"/>
      <c r="C133" s="25"/>
      <c r="E133" s="7"/>
      <c r="F133" s="19"/>
      <c r="G133" s="25"/>
    </row>
    <row r="134" spans="1:7" x14ac:dyDescent="0.25">
      <c r="A134" s="7"/>
      <c r="B134" s="19"/>
      <c r="C134" s="25"/>
      <c r="E134" s="7"/>
      <c r="F134" s="19"/>
      <c r="G134" s="25"/>
    </row>
    <row r="135" spans="1:7" x14ac:dyDescent="0.25">
      <c r="A135" s="7"/>
      <c r="B135" s="19"/>
      <c r="C135" s="25"/>
      <c r="E135" s="7"/>
      <c r="F135" s="19"/>
      <c r="G135" s="25"/>
    </row>
  </sheetData>
  <mergeCells count="4">
    <mergeCell ref="B6:F6"/>
    <mergeCell ref="A7:C7"/>
    <mergeCell ref="B51:F51"/>
    <mergeCell ref="B96:F96"/>
  </mergeCells>
  <pageMargins left="0.25" right="0.25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SUSTRATO</vt:lpstr>
      <vt:lpstr>SUSTRATOS TECHOMAT</vt:lpstr>
      <vt:lpstr>TINTAS</vt:lpstr>
      <vt:lpstr>TINTAS (2)</vt:lpstr>
      <vt:lpstr>QUÍMICOS</vt:lpstr>
      <vt:lpstr>COSUMIBLES</vt:lpstr>
      <vt:lpstr>COSUMIBLES (2)</vt:lpstr>
      <vt:lpstr>UNIFORMES</vt:lpstr>
      <vt:lpstr>FERRETERIA</vt:lpstr>
      <vt:lpstr>PAPELERIA</vt:lpstr>
      <vt:lpstr>LIMPIEZA</vt:lpstr>
      <vt:lpstr>REPUESTOS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Rodriguez</dc:creator>
  <cp:lastModifiedBy>Almacen</cp:lastModifiedBy>
  <cp:lastPrinted>2026-02-20T18:23:20Z</cp:lastPrinted>
  <dcterms:created xsi:type="dcterms:W3CDTF">2023-07-11T11:22:28Z</dcterms:created>
  <dcterms:modified xsi:type="dcterms:W3CDTF">2026-02-26T18:50:44Z</dcterms:modified>
</cp:coreProperties>
</file>